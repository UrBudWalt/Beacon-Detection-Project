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walt/Desktop/Llama/Tests/"/>
    </mc:Choice>
  </mc:AlternateContent>
  <xr:revisionPtr revIDLastSave="0" documentId="13_ncr:1_{BF84E70A-2A63-E84B-B090-6663A1871048}" xr6:coauthVersionLast="34" xr6:coauthVersionMax="34" xr10:uidLastSave="{00000000-0000-0000-0000-000000000000}"/>
  <bookViews>
    <workbookView xWindow="0" yWindow="0" windowWidth="38400" windowHeight="21600" xr2:uid="{00000000-000D-0000-FFFF-FFFF00000000}"/>
  </bookViews>
  <sheets>
    <sheet name="Disk 4" sheetId="3" r:id="rId1"/>
    <sheet name="Sheet10" sheetId="11" r:id="rId2"/>
    <sheet name="Graph overview" sheetId="15" r:id="rId3"/>
    <sheet name="Sheet1" sheetId="12" r:id="rId4"/>
    <sheet name="Sheet9" sheetId="10" r:id="rId5"/>
    <sheet name="Disk 5" sheetId="1" r:id="rId6"/>
    <sheet name="Disk 6" sheetId="2" r:id="rId7"/>
    <sheet name="Estemote 3873 28141" sheetId="5" r:id="rId8"/>
    <sheet name="Estemote 31536 15107" sheetId="7" r:id="rId9"/>
    <sheet name="Estemote 17519 22858" sheetId="6" r:id="rId10"/>
    <sheet name="Overview" sheetId="4" r:id="rId11"/>
    <sheet name="Avarage Accrucy" sheetId="9" r:id="rId12"/>
  </sheets>
  <definedNames>
    <definedName name="_xlnm._FilterDatabase" localSheetId="0" hidden="1">'Disk 4'!$A$1:$F$179</definedName>
    <definedName name="_xlnm._FilterDatabase" localSheetId="5" hidden="1">'Disk 5'!$A$1:$F$169</definedName>
    <definedName name="_xlnm._FilterDatabase" localSheetId="6" hidden="1">'Disk 6'!$A$1:$F$179</definedName>
    <definedName name="_xlnm._FilterDatabase" localSheetId="9" hidden="1">'Estemote 17519 22858'!$A$1:$F$1</definedName>
    <definedName name="_xlnm._FilterDatabase" localSheetId="8" hidden="1">'Estemote 31536 15107'!$A$1:$F$241</definedName>
    <definedName name="_xlnm._FilterDatabase" localSheetId="7" hidden="1">'Estemote 3873 28141'!$A$1:$F$261</definedName>
    <definedName name="_xlchart.v1.0" hidden="1">Sheet10!$B$1</definedName>
    <definedName name="_xlchart.v1.1" hidden="1">Sheet10!$B$2:$B$61</definedName>
    <definedName name="_xlchart.v1.10" hidden="1">Sheet10!$D$1</definedName>
    <definedName name="_xlchart.v1.11" hidden="1">Sheet10!$D$2:$D$61</definedName>
    <definedName name="_xlchart.v1.12" hidden="1">Sheet10!$B$1</definedName>
    <definedName name="_xlchart.v1.13" hidden="1">Sheet10!$B$2:$B$61</definedName>
    <definedName name="_xlchart.v1.14" hidden="1">Sheet10!$C$1</definedName>
    <definedName name="_xlchart.v1.15" hidden="1">Sheet10!$C$2:$C$61</definedName>
    <definedName name="_xlchart.v1.16" hidden="1">Sheet10!$D$1</definedName>
    <definedName name="_xlchart.v1.17" hidden="1">Sheet10!$D$2:$D$61</definedName>
    <definedName name="_xlchart.v1.18" hidden="1">Sheet10!$B$2:$B$61</definedName>
    <definedName name="_xlchart.v1.19" hidden="1">Sheet10!$B$1</definedName>
    <definedName name="_xlchart.v1.2" hidden="1">Sheet10!$C$1</definedName>
    <definedName name="_xlchart.v1.20" hidden="1">Sheet10!$B$2:$B$61</definedName>
    <definedName name="_xlchart.v1.21" hidden="1">Sheet10!$C$1</definedName>
    <definedName name="_xlchart.v1.22" hidden="1">Sheet10!$C$2:$C$61</definedName>
    <definedName name="_xlchart.v1.23" hidden="1">Sheet10!$D$1</definedName>
    <definedName name="_xlchart.v1.24" hidden="1">Sheet10!$D$2:$D$61</definedName>
    <definedName name="_xlchart.v1.3" hidden="1">Sheet10!$C$2:$C$61</definedName>
    <definedName name="_xlchart.v1.4" hidden="1">Sheet10!$D$1</definedName>
    <definedName name="_xlchart.v1.5" hidden="1">Sheet10!$D$2:$D$61</definedName>
    <definedName name="_xlchart.v1.6" hidden="1">Sheet10!$B$1</definedName>
    <definedName name="_xlchart.v1.7" hidden="1">Sheet10!$B$2:$B$61</definedName>
    <definedName name="_xlchart.v1.8" hidden="1">Sheet10!$C$1</definedName>
    <definedName name="_xlchart.v1.9" hidden="1">Sheet10!$C$2:$C$61</definedName>
  </definedNames>
  <calcPr calcId="179021"/>
  <fileRecoveryPr repairLoad="1"/>
</workbook>
</file>

<file path=xl/calcChain.xml><?xml version="1.0" encoding="utf-8"?>
<calcChain xmlns="http://schemas.openxmlformats.org/spreadsheetml/2006/main">
  <c r="N64" i="9" l="1"/>
  <c r="O64" i="9"/>
  <c r="Q64" i="9"/>
  <c r="R64" i="9"/>
  <c r="I5" i="6"/>
  <c r="E64" i="9"/>
  <c r="F64" i="9"/>
  <c r="G64" i="9"/>
  <c r="I64" i="9"/>
  <c r="J64" i="9"/>
  <c r="K64" i="9"/>
  <c r="B64" i="9"/>
  <c r="C64" i="9"/>
  <c r="A64" i="9"/>
  <c r="I5" i="7"/>
  <c r="I6" i="6"/>
  <c r="I6" i="7"/>
  <c r="I7" i="6"/>
  <c r="I4" i="6"/>
  <c r="I7" i="7"/>
  <c r="I4" i="7"/>
  <c r="I6" i="5"/>
  <c r="I5" i="5"/>
  <c r="I4" i="5"/>
  <c r="I7" i="5"/>
  <c r="I7" i="2"/>
  <c r="I5" i="2"/>
  <c r="I6" i="2"/>
  <c r="I4" i="2"/>
  <c r="J6" i="1"/>
  <c r="J5" i="1"/>
  <c r="J4" i="1"/>
  <c r="J3" i="1"/>
  <c r="J6" i="3"/>
  <c r="J5" i="3"/>
  <c r="J4" i="3"/>
  <c r="J3" i="3"/>
</calcChain>
</file>

<file path=xl/sharedStrings.xml><?xml version="1.0" encoding="utf-8"?>
<sst xmlns="http://schemas.openxmlformats.org/spreadsheetml/2006/main" count="1991" uniqueCount="320">
  <si>
    <t>major</t>
  </si>
  <si>
    <t>minor</t>
  </si>
  <si>
    <t>rssi</t>
  </si>
  <si>
    <t>accuracy</t>
  </si>
  <si>
    <t>distance</t>
  </si>
  <si>
    <t>date</t>
  </si>
  <si>
    <t>Immediate</t>
  </si>
  <si>
    <t>26.07.2018 12:55:35</t>
  </si>
  <si>
    <t>Near</t>
  </si>
  <si>
    <t>26.07.2018 12:55:36</t>
  </si>
  <si>
    <t>26.07.2018 12:55:37</t>
  </si>
  <si>
    <t>26.07.2018 12:55:38</t>
  </si>
  <si>
    <t>26.07.2018 12:55:39</t>
  </si>
  <si>
    <t>26.07.2018 12:55:40</t>
  </si>
  <si>
    <t>26.07.2018 12:55:41</t>
  </si>
  <si>
    <t>26.07.2018 12:55:42</t>
  </si>
  <si>
    <t>26.07.2018 12:55:43</t>
  </si>
  <si>
    <t>26.07.2018 12:55:44</t>
  </si>
  <si>
    <t>26.07.2018 12:55:45</t>
  </si>
  <si>
    <t>26.07.2018 12:55:46</t>
  </si>
  <si>
    <t>26.07.2018 12:55:47</t>
  </si>
  <si>
    <t>26.07.2018 12:55:48</t>
  </si>
  <si>
    <t>26.07.2018 12:55:49</t>
  </si>
  <si>
    <t>26.07.2018 12:55:50</t>
  </si>
  <si>
    <t>26.07.2018 12:55:51</t>
  </si>
  <si>
    <t>26.07.2018 12:55:52</t>
  </si>
  <si>
    <t>26.07.2018 12:55:53</t>
  </si>
  <si>
    <t>26.07.2018 12:55:54</t>
  </si>
  <si>
    <t>26.07.2018 12:55:55</t>
  </si>
  <si>
    <t>26.07.2018 12:55:56</t>
  </si>
  <si>
    <t>26.07.2018 12:55:57</t>
  </si>
  <si>
    <t>26.07.2018 12:55:58</t>
  </si>
  <si>
    <t>26.07.2018 12:55:59</t>
  </si>
  <si>
    <t>26.07.2018 12:56:00</t>
  </si>
  <si>
    <t>26.07.2018 12:56:01</t>
  </si>
  <si>
    <t>26.07.2018 12:56:02</t>
  </si>
  <si>
    <t>26.07.2018 12:56:03</t>
  </si>
  <si>
    <t>26.07.2018 12:56:04</t>
  </si>
  <si>
    <t>26.07.2018 12:56:05</t>
  </si>
  <si>
    <t>26.07.2018 12:56:06</t>
  </si>
  <si>
    <t>26.07.2018 12:56:07</t>
  </si>
  <si>
    <t>26.07.2018 12:56:08</t>
  </si>
  <si>
    <t>26.07.2018 12:56:09</t>
  </si>
  <si>
    <t>26.07.2018 12:56:10</t>
  </si>
  <si>
    <t>Far</t>
  </si>
  <si>
    <t>26.07.2018 12:56:11</t>
  </si>
  <si>
    <t>26.07.2018 12:56:12</t>
  </si>
  <si>
    <t>26.07.2018 12:56:13</t>
  </si>
  <si>
    <t>26.07.2018 12:56:14</t>
  </si>
  <si>
    <t>26.07.2018 12:56:15</t>
  </si>
  <si>
    <t>26.07.2018 12:56:16</t>
  </si>
  <si>
    <t>26.07.2018 12:56:17</t>
  </si>
  <si>
    <t>26.07.2018 12:56:18</t>
  </si>
  <si>
    <t>26.07.2018 12:56:19</t>
  </si>
  <si>
    <t>26.07.2018 12:56:20</t>
  </si>
  <si>
    <t>26.07.2018 12:56:21</t>
  </si>
  <si>
    <t>26.07.2018 12:56:22</t>
  </si>
  <si>
    <t>26.07.2018 12:56:23</t>
  </si>
  <si>
    <t>26.07.2018 12:56:24</t>
  </si>
  <si>
    <t>26.07.2018 12:56:25</t>
  </si>
  <si>
    <t>26.07.2018 12:56:26</t>
  </si>
  <si>
    <t>26.07.2018 12:56:27</t>
  </si>
  <si>
    <t>26.07.2018 12:56:28</t>
  </si>
  <si>
    <t>26.07.2018 12:56:29</t>
  </si>
  <si>
    <t>26.07.2018 12:56:30</t>
  </si>
  <si>
    <t>26.07.2018 12:56:31</t>
  </si>
  <si>
    <t>26.07.2018 12:56:32</t>
  </si>
  <si>
    <t>26.07.2018 12:56:33</t>
  </si>
  <si>
    <t>26.07.2018 12:56:34</t>
  </si>
  <si>
    <t>26.07.2018 12:53:45</t>
  </si>
  <si>
    <t>26.07.2018 12:53:46</t>
  </si>
  <si>
    <t>26.07.2018 12:53:47</t>
  </si>
  <si>
    <t>26.07.2018 12:53:48</t>
  </si>
  <si>
    <t>26.07.2018 12:53:49</t>
  </si>
  <si>
    <t>26.07.2018 12:53:50</t>
  </si>
  <si>
    <t>26.07.2018 12:53:51</t>
  </si>
  <si>
    <t>26.07.2018 12:53:52</t>
  </si>
  <si>
    <t>26.07.2018 12:53:53</t>
  </si>
  <si>
    <t>26.07.2018 12:53:54</t>
  </si>
  <si>
    <t>26.07.2018 12:53:55</t>
  </si>
  <si>
    <t>26.07.2018 12:53:56</t>
  </si>
  <si>
    <t>26.07.2018 12:53:57</t>
  </si>
  <si>
    <t>26.07.2018 12:53:58</t>
  </si>
  <si>
    <t>26.07.2018 12:53:59</t>
  </si>
  <si>
    <t>26.07.2018 12:54:00</t>
  </si>
  <si>
    <t>26.07.2018 12:54:01</t>
  </si>
  <si>
    <t>26.07.2018 12:54:02</t>
  </si>
  <si>
    <t>26.07.2018 12:54:03</t>
  </si>
  <si>
    <t>26.07.2018 12:54:04</t>
  </si>
  <si>
    <t>26.07.2018 12:54:05</t>
  </si>
  <si>
    <t>26.07.2018 12:54:06</t>
  </si>
  <si>
    <t>26.07.2018 12:54:07</t>
  </si>
  <si>
    <t>26.07.2018 12:54:08</t>
  </si>
  <si>
    <t>26.07.2018 12:54:09</t>
  </si>
  <si>
    <t>26.07.2018 12:54:10</t>
  </si>
  <si>
    <t>26.07.2018 12:54:11</t>
  </si>
  <si>
    <t>26.07.2018 12:54:12</t>
  </si>
  <si>
    <t>26.07.2018 12:54:13</t>
  </si>
  <si>
    <t>26.07.2018 12:54:14</t>
  </si>
  <si>
    <t>26.07.2018 12:54:15</t>
  </si>
  <si>
    <t>26.07.2018 12:54:16</t>
  </si>
  <si>
    <t>26.07.2018 12:54:17</t>
  </si>
  <si>
    <t>26.07.2018 12:54:18</t>
  </si>
  <si>
    <t>26.07.2018 12:54:19</t>
  </si>
  <si>
    <t>26.07.2018 12:54:20</t>
  </si>
  <si>
    <t>26.07.2018 12:54:21</t>
  </si>
  <si>
    <t>26.07.2018 12:54:22</t>
  </si>
  <si>
    <t>26.07.2018 12:54:23</t>
  </si>
  <si>
    <t>26.07.2018 12:54:24</t>
  </si>
  <si>
    <t>26.07.2018 12:54:25</t>
  </si>
  <si>
    <t>26.07.2018 12:54:26</t>
  </si>
  <si>
    <t>26.07.2018 12:54:27</t>
  </si>
  <si>
    <t>26.07.2018 12:54:28</t>
  </si>
  <si>
    <t>26.07.2018 12:54:29</t>
  </si>
  <si>
    <t>26.07.2018 12:54:30</t>
  </si>
  <si>
    <t>26.07.2018 12:54:31</t>
  </si>
  <si>
    <t>26.07.2018 12:54:32</t>
  </si>
  <si>
    <t>26.07.2018 12:54:33</t>
  </si>
  <si>
    <t>26.07.2018 12:54:34</t>
  </si>
  <si>
    <t>26.07.2018 12:54:35</t>
  </si>
  <si>
    <t>26.07.2018 12:54:36</t>
  </si>
  <si>
    <t>26.07.2018 12:54:37</t>
  </si>
  <si>
    <t>26.07.2018 12:54:38</t>
  </si>
  <si>
    <t>26.07.2018 12:54:39</t>
  </si>
  <si>
    <t>26.07.2018 12:54:40</t>
  </si>
  <si>
    <t>26.07.2018 12:54:41</t>
  </si>
  <si>
    <t>26.07.2018 12:54:42</t>
  </si>
  <si>
    <t>26.07.2018 12:54:43</t>
  </si>
  <si>
    <t>26.07.2018 12:54:44</t>
  </si>
  <si>
    <t>26.07.2018 14:45:43</t>
  </si>
  <si>
    <t>26.07.2018 14:45:42</t>
  </si>
  <si>
    <t>26.07.2018 14:45:41</t>
  </si>
  <si>
    <t>26.07.2018 14:45:40</t>
  </si>
  <si>
    <t>26.07.2018 14:45:39</t>
  </si>
  <si>
    <t>26.07.2018 14:45:38</t>
  </si>
  <si>
    <t>26.07.2018 14:45:37</t>
  </si>
  <si>
    <t>26.07.2018 14:45:36</t>
  </si>
  <si>
    <t>26.07.2018 14:45:35</t>
  </si>
  <si>
    <t>26.07.2018 14:45:34</t>
  </si>
  <si>
    <t>26.07.2018 14:45:33</t>
  </si>
  <si>
    <t>26.07.2018 14:45:32</t>
  </si>
  <si>
    <t>26.07.2018 14:45:31</t>
  </si>
  <si>
    <t>26.07.2018 14:45:30</t>
  </si>
  <si>
    <t>26.07.2018 14:45:29</t>
  </si>
  <si>
    <t>26.07.2018 14:45:28</t>
  </si>
  <si>
    <t>26.07.2018 14:45:27</t>
  </si>
  <si>
    <t>26.07.2018 14:45:26</t>
  </si>
  <si>
    <t>26.07.2018 14:45:25</t>
  </si>
  <si>
    <t>26.07.2018 14:45:24</t>
  </si>
  <si>
    <t>26.07.2018 14:45:23</t>
  </si>
  <si>
    <t>26.07.2018 14:45:22</t>
  </si>
  <si>
    <t>26.07.2018 14:45:21</t>
  </si>
  <si>
    <t>26.07.2018 14:45:20</t>
  </si>
  <si>
    <t>26.07.2018 14:45:19</t>
  </si>
  <si>
    <t>26.07.2018 14:45:18</t>
  </si>
  <si>
    <t>26.07.2018 14:45:17</t>
  </si>
  <si>
    <t>26.07.2018 14:45:16</t>
  </si>
  <si>
    <t>26.07.2018 14:45:15</t>
  </si>
  <si>
    <t>26.07.2018 14:45:14</t>
  </si>
  <si>
    <t>26.07.2018 14:45:13</t>
  </si>
  <si>
    <t>26.07.2018 14:45:12</t>
  </si>
  <si>
    <t>26.07.2018 14:45:11</t>
  </si>
  <si>
    <t>26.07.2018 14:45:10</t>
  </si>
  <si>
    <t>26.07.2018 14:45:09</t>
  </si>
  <si>
    <t>26.07.2018 14:45:08</t>
  </si>
  <si>
    <t>26.07.2018 14:45:07</t>
  </si>
  <si>
    <t>26.07.2018 14:45:06</t>
  </si>
  <si>
    <t>26.07.2018 14:45:05</t>
  </si>
  <si>
    <t>26.07.2018 14:45:04</t>
  </si>
  <si>
    <t>26.07.2018 14:45:03</t>
  </si>
  <si>
    <t>26.07.2018 14:45:02</t>
  </si>
  <si>
    <t>26.07.2018 14:45:01</t>
  </si>
  <si>
    <t>26.07.2018 14:45:00</t>
  </si>
  <si>
    <t>26.07.2018 14:44:59</t>
  </si>
  <si>
    <t>26.07.2018 14:44:58</t>
  </si>
  <si>
    <t>26.07.2018 14:44:57</t>
  </si>
  <si>
    <t>26.07.2018 14:44:56</t>
  </si>
  <si>
    <t>26.07.2018 14:44:55</t>
  </si>
  <si>
    <t>26.07.2018 14:44:54</t>
  </si>
  <si>
    <t>26.07.2018 14:44:53</t>
  </si>
  <si>
    <t>26.07.2018 14:44:52</t>
  </si>
  <si>
    <t>26.07.2018 14:44:51</t>
  </si>
  <si>
    <t>26.07.2018 14:44:50</t>
  </si>
  <si>
    <t>26.07.2018 14:44:49</t>
  </si>
  <si>
    <t>26.07.2018 14:44:48</t>
  </si>
  <si>
    <t>26.07.2018 14:44:47</t>
  </si>
  <si>
    <t>26.07.2018 14:44:46</t>
  </si>
  <si>
    <t>26.07.2018 14:44:45</t>
  </si>
  <si>
    <t>26.07.2018 14:44:44</t>
  </si>
  <si>
    <t>26.07.2018 14:52:45</t>
  </si>
  <si>
    <t>26.07.2018 14:52:46</t>
  </si>
  <si>
    <t>26.07.2018 14:52:47</t>
  </si>
  <si>
    <t>26.07.2018 14:52:48</t>
  </si>
  <si>
    <t>26.07.2018 14:52:49</t>
  </si>
  <si>
    <t>26.07.2018 14:52:50</t>
  </si>
  <si>
    <t>26.07.2018 14:52:51</t>
  </si>
  <si>
    <t>26.07.2018 14:52:52</t>
  </si>
  <si>
    <t>26.07.2018 14:52:53</t>
  </si>
  <si>
    <t>26.07.2018 14:52:54</t>
  </si>
  <si>
    <t>26.07.2018 14:52:55</t>
  </si>
  <si>
    <t>26.07.2018 14:52:56</t>
  </si>
  <si>
    <t>26.07.2018 14:52:57</t>
  </si>
  <si>
    <t>26.07.2018 14:52:58</t>
  </si>
  <si>
    <t>26.07.2018 14:52:59</t>
  </si>
  <si>
    <t>26.07.2018 14:53:00</t>
  </si>
  <si>
    <t>26.07.2018 14:53:01</t>
  </si>
  <si>
    <t>26.07.2018 14:53:02</t>
  </si>
  <si>
    <t>26.07.2018 14:53:03</t>
  </si>
  <si>
    <t>26.07.2018 14:53:04</t>
  </si>
  <si>
    <t>26.07.2018 14:53:05</t>
  </si>
  <si>
    <t>26.07.2018 14:53:06</t>
  </si>
  <si>
    <t>26.07.2018 14:53:07</t>
  </si>
  <si>
    <t>26.07.2018 14:53:08</t>
  </si>
  <si>
    <t>26.07.2018 14:53:09</t>
  </si>
  <si>
    <t>26.07.2018 14:53:10</t>
  </si>
  <si>
    <t>26.07.2018 14:53:11</t>
  </si>
  <si>
    <t>26.07.2018 14:53:12</t>
  </si>
  <si>
    <t>26.07.2018 14:53:13</t>
  </si>
  <si>
    <t>26.07.2018 14:53:14</t>
  </si>
  <si>
    <t>26.07.2018 14:53:15</t>
  </si>
  <si>
    <t>26.07.2018 14:53:16</t>
  </si>
  <si>
    <t>26.07.2018 14:53:17</t>
  </si>
  <si>
    <t>26.07.2018 14:53:18</t>
  </si>
  <si>
    <t>26.07.2018 14:53:19</t>
  </si>
  <si>
    <t>26.07.2018 14:53:20</t>
  </si>
  <si>
    <t>26.07.2018 14:53:21</t>
  </si>
  <si>
    <t>26.07.2018 14:53:22</t>
  </si>
  <si>
    <t>26.07.2018 14:53:23</t>
  </si>
  <si>
    <t>26.07.2018 14:53:24</t>
  </si>
  <si>
    <t>26.07.2018 14:53:25</t>
  </si>
  <si>
    <t>26.07.2018 14:53:26</t>
  </si>
  <si>
    <t>26.07.2018 14:53:27</t>
  </si>
  <si>
    <t>26.07.2018 14:53:28</t>
  </si>
  <si>
    <t>26.07.2018 14:53:29</t>
  </si>
  <si>
    <t>26.07.2018 14:53:30</t>
  </si>
  <si>
    <t>26.07.2018 14:53:31</t>
  </si>
  <si>
    <t>26.07.2018 14:53:32</t>
  </si>
  <si>
    <t>26.07.2018 14:53:33</t>
  </si>
  <si>
    <t>26.07.2018 14:53:34</t>
  </si>
  <si>
    <t>26.07.2018 14:53:35</t>
  </si>
  <si>
    <t>26.07.2018 14:53:36</t>
  </si>
  <si>
    <t>26.07.2018 14:53:37</t>
  </si>
  <si>
    <t>26.07.2018 14:53:38</t>
  </si>
  <si>
    <t>26.07.2018 14:53:39</t>
  </si>
  <si>
    <t>26.07.2018 14:53:40</t>
  </si>
  <si>
    <t>26.07.2018 14:53:41</t>
  </si>
  <si>
    <t>26.07.2018 14:53:42</t>
  </si>
  <si>
    <t>26.07.2018 14:53:43</t>
  </si>
  <si>
    <t>26.07.2018 14:53:44</t>
  </si>
  <si>
    <t>26.07.2018 14:50:00</t>
  </si>
  <si>
    <t>26.07.2018 14:50:01</t>
  </si>
  <si>
    <t>26.07.2018 14:50:02</t>
  </si>
  <si>
    <t>26.07.2018 14:50:03</t>
  </si>
  <si>
    <t>26.07.2018 14:50:04</t>
  </si>
  <si>
    <t>26.07.2018 14:50:05</t>
  </si>
  <si>
    <t>26.07.2018 14:50:06</t>
  </si>
  <si>
    <t>26.07.2018 14:50:07</t>
  </si>
  <si>
    <t>26.07.2018 14:50:08</t>
  </si>
  <si>
    <t>26.07.2018 14:50:09</t>
  </si>
  <si>
    <t>26.07.2018 14:50:10</t>
  </si>
  <si>
    <t>26.07.2018 14:50:11</t>
  </si>
  <si>
    <t>26.07.2018 14:50:12</t>
  </si>
  <si>
    <t>26.07.2018 14:50:13</t>
  </si>
  <si>
    <t>26.07.2018 14:50:14</t>
  </si>
  <si>
    <t>26.07.2018 14:50:15</t>
  </si>
  <si>
    <t>26.07.2018 14:50:16</t>
  </si>
  <si>
    <t>26.07.2018 14:50:17</t>
  </si>
  <si>
    <t>26.07.2018 14:50:18</t>
  </si>
  <si>
    <t>26.07.2018 14:50:19</t>
  </si>
  <si>
    <t>26.07.2018 14:50:20</t>
  </si>
  <si>
    <t>26.07.2018 14:50:21</t>
  </si>
  <si>
    <t>26.07.2018 14:50:22</t>
  </si>
  <si>
    <t>26.07.2018 14:50:23</t>
  </si>
  <si>
    <t>26.07.2018 14:50:24</t>
  </si>
  <si>
    <t>26.07.2018 14:50:25</t>
  </si>
  <si>
    <t>26.07.2018 14:50:26</t>
  </si>
  <si>
    <t>26.07.2018 14:50:27</t>
  </si>
  <si>
    <t>26.07.2018 14:50:28</t>
  </si>
  <si>
    <t>26.07.2018 14:50:29</t>
  </si>
  <si>
    <t>26.07.2018 14:50:30</t>
  </si>
  <si>
    <t>26.07.2018 14:50:31</t>
  </si>
  <si>
    <t>26.07.2018 14:50:32</t>
  </si>
  <si>
    <t>26.07.2018 14:50:33</t>
  </si>
  <si>
    <t>26.07.2018 14:50:34</t>
  </si>
  <si>
    <t>26.07.2018 14:50:35</t>
  </si>
  <si>
    <t>26.07.2018 14:50:36</t>
  </si>
  <si>
    <t>26.07.2018 14:50:37</t>
  </si>
  <si>
    <t>26.07.2018 14:50:38</t>
  </si>
  <si>
    <t>26.07.2018 14:50:39</t>
  </si>
  <si>
    <t>26.07.2018 14:50:40</t>
  </si>
  <si>
    <t>26.07.2018 14:50:41</t>
  </si>
  <si>
    <t>26.07.2018 14:50:42</t>
  </si>
  <si>
    <t>26.07.2018 14:50:43</t>
  </si>
  <si>
    <t>26.07.2018 14:50:44</t>
  </si>
  <si>
    <t>26.07.2018 14:50:45</t>
  </si>
  <si>
    <t>26.07.2018 14:50:46</t>
  </si>
  <si>
    <t>26.07.2018 14:50:47</t>
  </si>
  <si>
    <t>26.07.2018 14:50:48</t>
  </si>
  <si>
    <t>26.07.2018 14:50:49</t>
  </si>
  <si>
    <t>26.07.2018 14:50:50</t>
  </si>
  <si>
    <t>26.07.2018 14:50:51</t>
  </si>
  <si>
    <t>26.07.2018 14:50:52</t>
  </si>
  <si>
    <t>26.07.2018 14:50:53</t>
  </si>
  <si>
    <t>26.07.2018 14:50:54</t>
  </si>
  <si>
    <t>26.07.2018 14:50:55</t>
  </si>
  <si>
    <t>26.07.2018 14:50:56</t>
  </si>
  <si>
    <t>26.07.2018 14:50:57</t>
  </si>
  <si>
    <t>26.07.2018 14:50:58</t>
  </si>
  <si>
    <t>26.07.2018 14:50:59</t>
  </si>
  <si>
    <t>Detected</t>
  </si>
  <si>
    <t>How many time</t>
  </si>
  <si>
    <t>Avarage rssi</t>
  </si>
  <si>
    <t>Outliners</t>
  </si>
  <si>
    <t>Disk Beacon Tests</t>
  </si>
  <si>
    <t>Estimote Beacons Test</t>
  </si>
  <si>
    <t>Avarage accuracy</t>
  </si>
  <si>
    <t>Layout</t>
  </si>
  <si>
    <t>Time</t>
  </si>
  <si>
    <t>Highest</t>
  </si>
  <si>
    <t>Diffrence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</si>
</sst>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7"/>
      <name val="Calibri"/>
      <family val="2"/>
      <scheme val="minor"/>
    </font>
    <font>
      <sz val="12"/>
      <color theme="9"/>
      <name val="Calibri"/>
      <family val="2"/>
      <scheme val="minor"/>
    </font>
    <font>
      <sz val="12"/>
      <color theme="5"/>
      <name val="Calibri"/>
      <family val="2"/>
      <scheme val="minor"/>
    </font>
    <font>
      <b/>
      <sz val="16"/>
      <color rgb="FF0A0101"/>
      <name val="Helvetica Neue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18" fillId="0" borderId="0" xfId="0" applyFont="1"/>
    <xf numFmtId="2" fontId="0" fillId="0" borderId="0" xfId="0" applyNumberFormat="1"/>
    <xf numFmtId="0" fontId="0" fillId="0" borderId="10" xfId="0" applyBorder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17" fillId="33" borderId="11" xfId="0" applyFont="1" applyFill="1" applyBorder="1"/>
    <xf numFmtId="0" fontId="17" fillId="33" borderId="12" xfId="0" applyFont="1" applyFill="1" applyBorder="1"/>
    <xf numFmtId="0" fontId="17" fillId="33" borderId="13" xfId="0" applyFont="1" applyFill="1" applyBorder="1"/>
    <xf numFmtId="0" fontId="17" fillId="33" borderId="16" xfId="0" applyFont="1" applyFill="1" applyBorder="1"/>
    <xf numFmtId="0" fontId="19" fillId="33" borderId="14" xfId="0" applyFont="1" applyFill="1" applyBorder="1"/>
    <xf numFmtId="0" fontId="14" fillId="33" borderId="14" xfId="0" applyFont="1" applyFill="1" applyBorder="1"/>
    <xf numFmtId="0" fontId="20" fillId="33" borderId="14" xfId="0" applyFont="1" applyFill="1" applyBorder="1"/>
    <xf numFmtId="0" fontId="17" fillId="33" borderId="20" xfId="0" applyFont="1" applyFill="1" applyBorder="1"/>
    <xf numFmtId="0" fontId="17" fillId="33" borderId="21" xfId="0" applyFont="1" applyFill="1" applyBorder="1"/>
    <xf numFmtId="0" fontId="17" fillId="33" borderId="22" xfId="0" applyFont="1" applyFill="1" applyBorder="1"/>
    <xf numFmtId="0" fontId="21" fillId="33" borderId="14" xfId="0" applyFont="1" applyFill="1" applyBorder="1"/>
    <xf numFmtId="164" fontId="0" fillId="0" borderId="0" xfId="0" applyNumberFormat="1"/>
    <xf numFmtId="0" fontId="0" fillId="0" borderId="0" xfId="0" applyAlignment="1">
      <alignment horizontal="center"/>
    </xf>
    <xf numFmtId="0" fontId="22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Test</a:t>
            </a:r>
            <a:r>
              <a:rPr lang="en-US" baseline="0"/>
              <a:t> for 10004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2378442575520798E-2"/>
          <c:y val="6.3119462929286427E-2"/>
          <c:w val="0.92523623816067735"/>
          <c:h val="0.88279049756187844"/>
        </c:manualLayout>
      </c:layout>
      <c:lineChart>
        <c:grouping val="standard"/>
        <c:varyColors val="0"/>
        <c:ser>
          <c:idx val="1"/>
          <c:order val="0"/>
          <c:tx>
            <c:strRef>
              <c:f>Sheet10!$B$1</c:f>
              <c:strCache>
                <c:ptCount val="1"/>
                <c:pt idx="0">
                  <c:v>10004</c:v>
                </c:pt>
              </c:strCache>
            </c:strRef>
          </c:tx>
          <c:spPr>
            <a:ln w="28575" cap="rnd">
              <a:solidFill>
                <a:schemeClr val="accent2">
                  <a:alpha val="7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2">
                  <a:alpha val="70000"/>
                </a:schemeClr>
              </a:solidFill>
              <a:ln>
                <a:noFill/>
              </a:ln>
              <a:effectLst/>
            </c:spPr>
          </c:marker>
          <c:val>
            <c:numRef>
              <c:f>Sheet10!$B$2:$B$61</c:f>
              <c:numCache>
                <c:formatCode>General</c:formatCode>
                <c:ptCount val="60"/>
                <c:pt idx="0">
                  <c:v>-44</c:v>
                </c:pt>
                <c:pt idx="1">
                  <c:v>-43</c:v>
                </c:pt>
                <c:pt idx="2">
                  <c:v>-43</c:v>
                </c:pt>
                <c:pt idx="3">
                  <c:v>-43</c:v>
                </c:pt>
                <c:pt idx="5">
                  <c:v>-43</c:v>
                </c:pt>
                <c:pt idx="6">
                  <c:v>-44</c:v>
                </c:pt>
                <c:pt idx="8">
                  <c:v>-43</c:v>
                </c:pt>
                <c:pt idx="9">
                  <c:v>-44</c:v>
                </c:pt>
                <c:pt idx="10">
                  <c:v>-43</c:v>
                </c:pt>
                <c:pt idx="11">
                  <c:v>-43</c:v>
                </c:pt>
                <c:pt idx="12">
                  <c:v>-43</c:v>
                </c:pt>
                <c:pt idx="13">
                  <c:v>-43</c:v>
                </c:pt>
                <c:pt idx="14">
                  <c:v>-43</c:v>
                </c:pt>
                <c:pt idx="15">
                  <c:v>-43</c:v>
                </c:pt>
                <c:pt idx="16">
                  <c:v>-43</c:v>
                </c:pt>
                <c:pt idx="17">
                  <c:v>-44</c:v>
                </c:pt>
                <c:pt idx="18">
                  <c:v>-44</c:v>
                </c:pt>
                <c:pt idx="19">
                  <c:v>-43</c:v>
                </c:pt>
                <c:pt idx="20">
                  <c:v>-43</c:v>
                </c:pt>
                <c:pt idx="21">
                  <c:v>-43</c:v>
                </c:pt>
                <c:pt idx="22">
                  <c:v>-43</c:v>
                </c:pt>
                <c:pt idx="23">
                  <c:v>-43</c:v>
                </c:pt>
                <c:pt idx="24">
                  <c:v>-43</c:v>
                </c:pt>
                <c:pt idx="25">
                  <c:v>-43</c:v>
                </c:pt>
                <c:pt idx="26">
                  <c:v>-43</c:v>
                </c:pt>
                <c:pt idx="27">
                  <c:v>-43</c:v>
                </c:pt>
                <c:pt idx="28">
                  <c:v>-43</c:v>
                </c:pt>
                <c:pt idx="29">
                  <c:v>-44</c:v>
                </c:pt>
                <c:pt idx="30">
                  <c:v>-43</c:v>
                </c:pt>
                <c:pt idx="31">
                  <c:v>-43</c:v>
                </c:pt>
                <c:pt idx="32">
                  <c:v>-44</c:v>
                </c:pt>
                <c:pt idx="34">
                  <c:v>-44</c:v>
                </c:pt>
                <c:pt idx="36">
                  <c:v>-44</c:v>
                </c:pt>
                <c:pt idx="37">
                  <c:v>-43</c:v>
                </c:pt>
                <c:pt idx="38">
                  <c:v>-43</c:v>
                </c:pt>
                <c:pt idx="39">
                  <c:v>-43</c:v>
                </c:pt>
                <c:pt idx="40">
                  <c:v>-43</c:v>
                </c:pt>
                <c:pt idx="41">
                  <c:v>-44</c:v>
                </c:pt>
                <c:pt idx="42">
                  <c:v>-43</c:v>
                </c:pt>
                <c:pt idx="43">
                  <c:v>-43</c:v>
                </c:pt>
                <c:pt idx="46">
                  <c:v>-44</c:v>
                </c:pt>
                <c:pt idx="47">
                  <c:v>-43</c:v>
                </c:pt>
                <c:pt idx="48">
                  <c:v>-43</c:v>
                </c:pt>
                <c:pt idx="49">
                  <c:v>-43</c:v>
                </c:pt>
                <c:pt idx="50">
                  <c:v>-43</c:v>
                </c:pt>
                <c:pt idx="51">
                  <c:v>-43</c:v>
                </c:pt>
                <c:pt idx="52">
                  <c:v>-43</c:v>
                </c:pt>
                <c:pt idx="53">
                  <c:v>-43</c:v>
                </c:pt>
                <c:pt idx="54">
                  <c:v>-44</c:v>
                </c:pt>
                <c:pt idx="55">
                  <c:v>-43</c:v>
                </c:pt>
                <c:pt idx="56">
                  <c:v>-43</c:v>
                </c:pt>
                <c:pt idx="59">
                  <c:v>-43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78-AC44-95A5-AF1834F371CB}"/>
            </c:ext>
          </c:extLst>
        </c:ser>
        <c:ser>
          <c:idx val="0"/>
          <c:order val="1"/>
          <c:tx>
            <c:strRef>
              <c:f>Sheet10!$C$1</c:f>
              <c:strCache>
                <c:ptCount val="1"/>
                <c:pt idx="0">
                  <c:v>10005</c:v>
                </c:pt>
              </c:strCache>
            </c:strRef>
          </c:tx>
          <c:spPr>
            <a:ln w="28575" cap="rnd">
              <a:solidFill>
                <a:schemeClr val="accent1">
                  <a:alpha val="7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>
                  <a:alpha val="70000"/>
                </a:schemeClr>
              </a:solidFill>
              <a:ln>
                <a:noFill/>
              </a:ln>
              <a:effectLst/>
            </c:spPr>
          </c:marker>
          <c:val>
            <c:numRef>
              <c:f>Sheet10!$C$2:$C$61</c:f>
              <c:numCache>
                <c:formatCode>General</c:formatCode>
                <c:ptCount val="60"/>
                <c:pt idx="1">
                  <c:v>-87</c:v>
                </c:pt>
                <c:pt idx="2">
                  <c:v>-79</c:v>
                </c:pt>
                <c:pt idx="3">
                  <c:v>-79</c:v>
                </c:pt>
                <c:pt idx="4">
                  <c:v>-78</c:v>
                </c:pt>
                <c:pt idx="5">
                  <c:v>-78</c:v>
                </c:pt>
                <c:pt idx="6">
                  <c:v>-83</c:v>
                </c:pt>
                <c:pt idx="8">
                  <c:v>-80</c:v>
                </c:pt>
                <c:pt idx="9">
                  <c:v>-78</c:v>
                </c:pt>
                <c:pt idx="10">
                  <c:v>-82</c:v>
                </c:pt>
                <c:pt idx="12">
                  <c:v>-82</c:v>
                </c:pt>
                <c:pt idx="13">
                  <c:v>-79</c:v>
                </c:pt>
                <c:pt idx="14">
                  <c:v>-79</c:v>
                </c:pt>
                <c:pt idx="15">
                  <c:v>-78</c:v>
                </c:pt>
                <c:pt idx="16">
                  <c:v>-78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-79</c:v>
                </c:pt>
                <c:pt idx="23">
                  <c:v>-80</c:v>
                </c:pt>
                <c:pt idx="24">
                  <c:v>-79</c:v>
                </c:pt>
                <c:pt idx="25">
                  <c:v>-79</c:v>
                </c:pt>
                <c:pt idx="26">
                  <c:v>-78</c:v>
                </c:pt>
                <c:pt idx="27">
                  <c:v>-78</c:v>
                </c:pt>
                <c:pt idx="30">
                  <c:v>-84</c:v>
                </c:pt>
                <c:pt idx="31">
                  <c:v>-79</c:v>
                </c:pt>
                <c:pt idx="32">
                  <c:v>-82</c:v>
                </c:pt>
                <c:pt idx="33">
                  <c:v>-79</c:v>
                </c:pt>
                <c:pt idx="34">
                  <c:v>-82</c:v>
                </c:pt>
                <c:pt idx="36">
                  <c:v>-83</c:v>
                </c:pt>
                <c:pt idx="37">
                  <c:v>-83</c:v>
                </c:pt>
                <c:pt idx="38">
                  <c:v>-82</c:v>
                </c:pt>
                <c:pt idx="39">
                  <c:v>-82</c:v>
                </c:pt>
                <c:pt idx="40">
                  <c:v>-81</c:v>
                </c:pt>
                <c:pt idx="41">
                  <c:v>-82</c:v>
                </c:pt>
                <c:pt idx="42">
                  <c:v>-84</c:v>
                </c:pt>
                <c:pt idx="43">
                  <c:v>-78</c:v>
                </c:pt>
                <c:pt idx="44">
                  <c:v>-78</c:v>
                </c:pt>
                <c:pt idx="45">
                  <c:v>-77</c:v>
                </c:pt>
                <c:pt idx="46">
                  <c:v>-78</c:v>
                </c:pt>
                <c:pt idx="47">
                  <c:v>-79</c:v>
                </c:pt>
                <c:pt idx="48">
                  <c:v>-79</c:v>
                </c:pt>
                <c:pt idx="49">
                  <c:v>-79</c:v>
                </c:pt>
                <c:pt idx="50">
                  <c:v>-79</c:v>
                </c:pt>
                <c:pt idx="51">
                  <c:v>-79</c:v>
                </c:pt>
                <c:pt idx="52">
                  <c:v>-81</c:v>
                </c:pt>
                <c:pt idx="53">
                  <c:v>-79</c:v>
                </c:pt>
                <c:pt idx="55">
                  <c:v>-79</c:v>
                </c:pt>
                <c:pt idx="56">
                  <c:v>-82</c:v>
                </c:pt>
                <c:pt idx="57">
                  <c:v>-79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78-AC44-95A5-AF1834F371CB}"/>
            </c:ext>
          </c:extLst>
        </c:ser>
        <c:ser>
          <c:idx val="2"/>
          <c:order val="2"/>
          <c:tx>
            <c:strRef>
              <c:f>Sheet10!$D$1</c:f>
              <c:strCache>
                <c:ptCount val="1"/>
                <c:pt idx="0">
                  <c:v>10006</c:v>
                </c:pt>
              </c:strCache>
            </c:strRef>
          </c:tx>
          <c:spPr>
            <a:ln w="28575" cap="rnd">
              <a:solidFill>
                <a:schemeClr val="accent3">
                  <a:alpha val="7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alpha val="70000"/>
                </a:schemeClr>
              </a:solidFill>
              <a:ln>
                <a:noFill/>
              </a:ln>
              <a:effectLst/>
            </c:spPr>
          </c:marker>
          <c:val>
            <c:numRef>
              <c:f>Sheet10!$D$2:$D$61</c:f>
              <c:numCache>
                <c:formatCode>General</c:formatCode>
                <c:ptCount val="60"/>
                <c:pt idx="1">
                  <c:v>-78</c:v>
                </c:pt>
                <c:pt idx="2">
                  <c:v>-74</c:v>
                </c:pt>
                <c:pt idx="3">
                  <c:v>-74</c:v>
                </c:pt>
                <c:pt idx="4">
                  <c:v>-77</c:v>
                </c:pt>
                <c:pt idx="5">
                  <c:v>-75</c:v>
                </c:pt>
                <c:pt idx="7">
                  <c:v>-74</c:v>
                </c:pt>
                <c:pt idx="9">
                  <c:v>-74</c:v>
                </c:pt>
                <c:pt idx="10">
                  <c:v>-78</c:v>
                </c:pt>
                <c:pt idx="11">
                  <c:v>-80</c:v>
                </c:pt>
                <c:pt idx="12">
                  <c:v>-79</c:v>
                </c:pt>
                <c:pt idx="13">
                  <c:v>-79</c:v>
                </c:pt>
                <c:pt idx="15">
                  <c:v>-78</c:v>
                </c:pt>
                <c:pt idx="16">
                  <c:v>-79</c:v>
                </c:pt>
                <c:pt idx="17">
                  <c:v>-76</c:v>
                </c:pt>
                <c:pt idx="18">
                  <c:v>-75</c:v>
                </c:pt>
                <c:pt idx="19">
                  <c:v>-75</c:v>
                </c:pt>
                <c:pt idx="20">
                  <c:v>-75</c:v>
                </c:pt>
                <c:pt idx="21">
                  <c:v>-75</c:v>
                </c:pt>
                <c:pt idx="22">
                  <c:v>-76</c:v>
                </c:pt>
                <c:pt idx="23">
                  <c:v>-76</c:v>
                </c:pt>
                <c:pt idx="24">
                  <c:v>-76</c:v>
                </c:pt>
                <c:pt idx="25">
                  <c:v>-77</c:v>
                </c:pt>
                <c:pt idx="26">
                  <c:v>-82</c:v>
                </c:pt>
                <c:pt idx="27">
                  <c:v>-79</c:v>
                </c:pt>
                <c:pt idx="28">
                  <c:v>-79</c:v>
                </c:pt>
                <c:pt idx="29">
                  <c:v>-74</c:v>
                </c:pt>
                <c:pt idx="30">
                  <c:v>-80</c:v>
                </c:pt>
                <c:pt idx="31">
                  <c:v>-75</c:v>
                </c:pt>
                <c:pt idx="34">
                  <c:v>-77</c:v>
                </c:pt>
                <c:pt idx="35">
                  <c:v>-75</c:v>
                </c:pt>
                <c:pt idx="37">
                  <c:v>-74</c:v>
                </c:pt>
                <c:pt idx="38">
                  <c:v>-74</c:v>
                </c:pt>
                <c:pt idx="39">
                  <c:v>-75</c:v>
                </c:pt>
                <c:pt idx="40">
                  <c:v>-75</c:v>
                </c:pt>
                <c:pt idx="41">
                  <c:v>-77</c:v>
                </c:pt>
                <c:pt idx="42">
                  <c:v>-77</c:v>
                </c:pt>
                <c:pt idx="43">
                  <c:v>-73</c:v>
                </c:pt>
                <c:pt idx="44">
                  <c:v>-73</c:v>
                </c:pt>
                <c:pt idx="45">
                  <c:v>-79</c:v>
                </c:pt>
                <c:pt idx="46">
                  <c:v>-79</c:v>
                </c:pt>
                <c:pt idx="47">
                  <c:v>-75</c:v>
                </c:pt>
                <c:pt idx="48">
                  <c:v>-75</c:v>
                </c:pt>
                <c:pt idx="49">
                  <c:v>-79</c:v>
                </c:pt>
                <c:pt idx="50">
                  <c:v>-79</c:v>
                </c:pt>
                <c:pt idx="51">
                  <c:v>-79</c:v>
                </c:pt>
                <c:pt idx="53">
                  <c:v>-79</c:v>
                </c:pt>
                <c:pt idx="54">
                  <c:v>-75</c:v>
                </c:pt>
                <c:pt idx="55">
                  <c:v>-79</c:v>
                </c:pt>
                <c:pt idx="56">
                  <c:v>-75</c:v>
                </c:pt>
                <c:pt idx="57">
                  <c:v>-78</c:v>
                </c:pt>
                <c:pt idx="58">
                  <c:v>-75</c:v>
                </c:pt>
                <c:pt idx="59">
                  <c:v>-79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78-AC44-95A5-AF1834F371CB}"/>
            </c:ext>
          </c:extLst>
        </c:ser>
        <c:ser>
          <c:idx val="3"/>
          <c:order val="3"/>
          <c:tx>
            <c:strRef>
              <c:f>Sheet10!$E$1</c:f>
              <c:strCache>
                <c:ptCount val="1"/>
                <c:pt idx="0">
                  <c:v>Highest</c:v>
                </c:pt>
              </c:strCache>
            </c:strRef>
          </c:tx>
          <c:spPr>
            <a:ln w="28575" cap="rnd">
              <a:solidFill>
                <a:schemeClr val="accent4">
                  <a:alpha val="7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4">
                  <a:alpha val="70000"/>
                </a:schemeClr>
              </a:solidFill>
              <a:ln>
                <a:noFill/>
              </a:ln>
              <a:effectLst/>
            </c:spPr>
          </c:marker>
          <c:val>
            <c:numRef>
              <c:f>Sheet10!$E$2:$E$61</c:f>
              <c:numCache>
                <c:formatCode>General</c:formatCode>
                <c:ptCount val="60"/>
                <c:pt idx="1">
                  <c:v>-87</c:v>
                </c:pt>
                <c:pt idx="2">
                  <c:v>-79</c:v>
                </c:pt>
                <c:pt idx="3">
                  <c:v>-79</c:v>
                </c:pt>
                <c:pt idx="4">
                  <c:v>-78</c:v>
                </c:pt>
                <c:pt idx="5">
                  <c:v>-78</c:v>
                </c:pt>
                <c:pt idx="6">
                  <c:v>-83</c:v>
                </c:pt>
                <c:pt idx="7">
                  <c:v>-74</c:v>
                </c:pt>
                <c:pt idx="8">
                  <c:v>-80</c:v>
                </c:pt>
                <c:pt idx="9">
                  <c:v>-78</c:v>
                </c:pt>
                <c:pt idx="10">
                  <c:v>-82</c:v>
                </c:pt>
                <c:pt idx="11">
                  <c:v>-80</c:v>
                </c:pt>
                <c:pt idx="12">
                  <c:v>-82</c:v>
                </c:pt>
                <c:pt idx="13">
                  <c:v>-79</c:v>
                </c:pt>
                <c:pt idx="14">
                  <c:v>-79</c:v>
                </c:pt>
                <c:pt idx="15">
                  <c:v>-78</c:v>
                </c:pt>
                <c:pt idx="16">
                  <c:v>-79</c:v>
                </c:pt>
                <c:pt idx="17">
                  <c:v>-76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-79</c:v>
                </c:pt>
                <c:pt idx="23">
                  <c:v>-80</c:v>
                </c:pt>
                <c:pt idx="24">
                  <c:v>-79</c:v>
                </c:pt>
                <c:pt idx="25">
                  <c:v>-79</c:v>
                </c:pt>
                <c:pt idx="26">
                  <c:v>-82</c:v>
                </c:pt>
                <c:pt idx="27">
                  <c:v>-79</c:v>
                </c:pt>
                <c:pt idx="28">
                  <c:v>-79</c:v>
                </c:pt>
                <c:pt idx="29">
                  <c:v>-74</c:v>
                </c:pt>
                <c:pt idx="30">
                  <c:v>-84</c:v>
                </c:pt>
                <c:pt idx="31">
                  <c:v>-79</c:v>
                </c:pt>
                <c:pt idx="32">
                  <c:v>-82</c:v>
                </c:pt>
                <c:pt idx="33">
                  <c:v>-79</c:v>
                </c:pt>
                <c:pt idx="34">
                  <c:v>-82</c:v>
                </c:pt>
                <c:pt idx="35">
                  <c:v>-75</c:v>
                </c:pt>
                <c:pt idx="36">
                  <c:v>-83</c:v>
                </c:pt>
                <c:pt idx="37">
                  <c:v>-83</c:v>
                </c:pt>
                <c:pt idx="38">
                  <c:v>-82</c:v>
                </c:pt>
                <c:pt idx="39">
                  <c:v>-82</c:v>
                </c:pt>
                <c:pt idx="40">
                  <c:v>-81</c:v>
                </c:pt>
                <c:pt idx="41">
                  <c:v>-82</c:v>
                </c:pt>
                <c:pt idx="42">
                  <c:v>-84</c:v>
                </c:pt>
                <c:pt idx="43">
                  <c:v>-78</c:v>
                </c:pt>
                <c:pt idx="44">
                  <c:v>-78</c:v>
                </c:pt>
                <c:pt idx="45">
                  <c:v>-79</c:v>
                </c:pt>
                <c:pt idx="46">
                  <c:v>-79</c:v>
                </c:pt>
                <c:pt idx="47">
                  <c:v>-79</c:v>
                </c:pt>
                <c:pt idx="48">
                  <c:v>-79</c:v>
                </c:pt>
                <c:pt idx="49">
                  <c:v>-79</c:v>
                </c:pt>
                <c:pt idx="50">
                  <c:v>-79</c:v>
                </c:pt>
                <c:pt idx="51">
                  <c:v>-79</c:v>
                </c:pt>
                <c:pt idx="52">
                  <c:v>-81</c:v>
                </c:pt>
                <c:pt idx="53">
                  <c:v>-79</c:v>
                </c:pt>
                <c:pt idx="54">
                  <c:v>-75</c:v>
                </c:pt>
                <c:pt idx="55">
                  <c:v>-79</c:v>
                </c:pt>
                <c:pt idx="56">
                  <c:v>-82</c:v>
                </c:pt>
                <c:pt idx="57">
                  <c:v>-79</c:v>
                </c:pt>
                <c:pt idx="58">
                  <c:v>-75</c:v>
                </c:pt>
                <c:pt idx="59">
                  <c:v>-79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78-AC44-95A5-AF1834F371CB}"/>
            </c:ext>
          </c:extLst>
        </c:ser>
        <c:ser>
          <c:idx val="4"/>
          <c:order val="4"/>
          <c:tx>
            <c:strRef>
              <c:f>Sheet10!$F$1</c:f>
              <c:strCache>
                <c:ptCount val="1"/>
                <c:pt idx="0">
                  <c:v>Diffrence</c:v>
                </c:pt>
              </c:strCache>
            </c:strRef>
          </c:tx>
          <c:spPr>
            <a:ln w="28575" cap="rnd">
              <a:solidFill>
                <a:schemeClr val="accent5">
                  <a:alpha val="7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5">
                  <a:alpha val="70000"/>
                </a:schemeClr>
              </a:solidFill>
              <a:ln>
                <a:noFill/>
              </a:ln>
              <a:effectLst/>
            </c:spPr>
          </c:marker>
          <c:val>
            <c:numRef>
              <c:f>Sheet10!$F$2:$F$61</c:f>
              <c:numCache>
                <c:formatCode>General</c:formatCode>
                <c:ptCount val="60"/>
                <c:pt idx="1">
                  <c:v>44</c:v>
                </c:pt>
                <c:pt idx="2">
                  <c:v>36</c:v>
                </c:pt>
                <c:pt idx="3">
                  <c:v>36</c:v>
                </c:pt>
                <c:pt idx="4">
                  <c:v>78</c:v>
                </c:pt>
                <c:pt idx="5">
                  <c:v>35</c:v>
                </c:pt>
                <c:pt idx="6">
                  <c:v>39</c:v>
                </c:pt>
                <c:pt idx="7">
                  <c:v>74</c:v>
                </c:pt>
                <c:pt idx="8">
                  <c:v>37</c:v>
                </c:pt>
                <c:pt idx="9">
                  <c:v>34</c:v>
                </c:pt>
                <c:pt idx="10">
                  <c:v>39</c:v>
                </c:pt>
                <c:pt idx="11">
                  <c:v>37</c:v>
                </c:pt>
                <c:pt idx="12">
                  <c:v>39</c:v>
                </c:pt>
                <c:pt idx="13">
                  <c:v>36</c:v>
                </c:pt>
                <c:pt idx="14">
                  <c:v>36</c:v>
                </c:pt>
                <c:pt idx="15">
                  <c:v>35</c:v>
                </c:pt>
                <c:pt idx="16">
                  <c:v>36</c:v>
                </c:pt>
                <c:pt idx="17">
                  <c:v>32</c:v>
                </c:pt>
                <c:pt idx="18">
                  <c:v>34</c:v>
                </c:pt>
                <c:pt idx="19">
                  <c:v>35</c:v>
                </c:pt>
                <c:pt idx="20">
                  <c:v>35</c:v>
                </c:pt>
                <c:pt idx="21">
                  <c:v>35</c:v>
                </c:pt>
                <c:pt idx="22">
                  <c:v>36</c:v>
                </c:pt>
                <c:pt idx="23">
                  <c:v>37</c:v>
                </c:pt>
                <c:pt idx="24">
                  <c:v>36</c:v>
                </c:pt>
                <c:pt idx="25">
                  <c:v>36</c:v>
                </c:pt>
                <c:pt idx="26">
                  <c:v>39</c:v>
                </c:pt>
                <c:pt idx="27">
                  <c:v>36</c:v>
                </c:pt>
                <c:pt idx="28">
                  <c:v>36</c:v>
                </c:pt>
                <c:pt idx="29">
                  <c:v>30</c:v>
                </c:pt>
                <c:pt idx="30">
                  <c:v>41</c:v>
                </c:pt>
                <c:pt idx="31">
                  <c:v>36</c:v>
                </c:pt>
                <c:pt idx="32">
                  <c:v>38</c:v>
                </c:pt>
                <c:pt idx="33">
                  <c:v>79</c:v>
                </c:pt>
                <c:pt idx="34">
                  <c:v>38</c:v>
                </c:pt>
                <c:pt idx="35">
                  <c:v>75</c:v>
                </c:pt>
                <c:pt idx="36">
                  <c:v>39</c:v>
                </c:pt>
                <c:pt idx="37">
                  <c:v>40</c:v>
                </c:pt>
                <c:pt idx="38">
                  <c:v>39</c:v>
                </c:pt>
                <c:pt idx="39">
                  <c:v>39</c:v>
                </c:pt>
                <c:pt idx="40">
                  <c:v>38</c:v>
                </c:pt>
                <c:pt idx="41">
                  <c:v>38</c:v>
                </c:pt>
                <c:pt idx="42">
                  <c:v>41</c:v>
                </c:pt>
                <c:pt idx="43">
                  <c:v>35</c:v>
                </c:pt>
                <c:pt idx="44">
                  <c:v>78</c:v>
                </c:pt>
                <c:pt idx="45">
                  <c:v>79</c:v>
                </c:pt>
                <c:pt idx="46">
                  <c:v>35</c:v>
                </c:pt>
                <c:pt idx="47">
                  <c:v>36</c:v>
                </c:pt>
                <c:pt idx="48">
                  <c:v>36</c:v>
                </c:pt>
                <c:pt idx="49">
                  <c:v>36</c:v>
                </c:pt>
                <c:pt idx="50">
                  <c:v>36</c:v>
                </c:pt>
                <c:pt idx="51">
                  <c:v>36</c:v>
                </c:pt>
                <c:pt idx="52">
                  <c:v>38</c:v>
                </c:pt>
                <c:pt idx="53">
                  <c:v>36</c:v>
                </c:pt>
                <c:pt idx="54">
                  <c:v>31</c:v>
                </c:pt>
                <c:pt idx="55">
                  <c:v>36</c:v>
                </c:pt>
                <c:pt idx="56">
                  <c:v>39</c:v>
                </c:pt>
                <c:pt idx="57">
                  <c:v>79</c:v>
                </c:pt>
                <c:pt idx="58">
                  <c:v>75</c:v>
                </c:pt>
                <c:pt idx="59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78-AC44-95A5-AF1834F37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2517104"/>
        <c:axId val="125078639"/>
      </c:lineChart>
      <c:catAx>
        <c:axId val="2132517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078639"/>
        <c:crosses val="autoZero"/>
        <c:auto val="1"/>
        <c:lblAlgn val="ctr"/>
        <c:lblOffset val="100"/>
        <c:noMultiLvlLbl val="0"/>
      </c:catAx>
      <c:valAx>
        <c:axId val="125078639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2"/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51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5</xdr:row>
      <xdr:rowOff>25400</xdr:rowOff>
    </xdr:from>
    <xdr:to>
      <xdr:col>12</xdr:col>
      <xdr:colOff>330200</xdr:colOff>
      <xdr:row>39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62047D8-066E-2841-9D10-BE32100BB0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79"/>
  <sheetViews>
    <sheetView tabSelected="1" workbookViewId="0">
      <selection activeCell="G1" sqref="G1:G1048576"/>
    </sheetView>
  </sheetViews>
  <sheetFormatPr baseColWidth="10" defaultRowHeight="16" x14ac:dyDescent="0.2"/>
  <cols>
    <col min="5" max="5" width="10.1640625" bestFit="1" customWidth="1"/>
    <col min="6" max="6" width="17.83203125" style="19" bestFit="1" customWidth="1"/>
    <col min="10" max="10" width="14.1640625" bestFit="1" customWidth="1"/>
    <col min="11" max="11" width="11.1640625" bestFit="1" customWidth="1"/>
  </cols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s="19" t="s">
        <v>5</v>
      </c>
    </row>
    <row r="2" spans="1:11" x14ac:dyDescent="0.2">
      <c r="A2">
        <v>10004</v>
      </c>
      <c r="B2">
        <v>54480</v>
      </c>
      <c r="C2">
        <v>-44</v>
      </c>
      <c r="D2">
        <v>0</v>
      </c>
      <c r="E2" t="s">
        <v>6</v>
      </c>
      <c r="F2" s="19">
        <v>0.53440972222222227</v>
      </c>
      <c r="G2">
        <v>1</v>
      </c>
      <c r="I2" t="s">
        <v>309</v>
      </c>
      <c r="J2" t="s">
        <v>310</v>
      </c>
      <c r="K2" t="s">
        <v>311</v>
      </c>
    </row>
    <row r="3" spans="1:11" x14ac:dyDescent="0.2">
      <c r="A3">
        <v>10004</v>
      </c>
      <c r="B3">
        <v>54480</v>
      </c>
      <c r="C3">
        <v>-43</v>
      </c>
      <c r="D3">
        <v>0</v>
      </c>
      <c r="E3" t="s">
        <v>6</v>
      </c>
      <c r="F3" s="19">
        <v>0.53442129629629631</v>
      </c>
      <c r="G3">
        <v>2</v>
      </c>
      <c r="I3">
        <v>10004</v>
      </c>
      <c r="J3">
        <f>COUNTIF(A2:A179, "10004")</f>
        <v>60</v>
      </c>
      <c r="K3">
        <v>-37.466666666666697</v>
      </c>
    </row>
    <row r="4" spans="1:11" x14ac:dyDescent="0.2">
      <c r="A4">
        <v>10006</v>
      </c>
      <c r="B4">
        <v>54480</v>
      </c>
      <c r="C4">
        <v>-78</v>
      </c>
      <c r="D4">
        <v>0.36</v>
      </c>
      <c r="E4" t="s">
        <v>8</v>
      </c>
      <c r="F4" s="19">
        <v>0.53442129629629631</v>
      </c>
      <c r="G4">
        <v>2</v>
      </c>
      <c r="I4">
        <v>10005</v>
      </c>
      <c r="J4">
        <f>COUNTIF(A2:A179, "10005")</f>
        <v>59</v>
      </c>
      <c r="K4">
        <v>-67.694915254237287</v>
      </c>
    </row>
    <row r="5" spans="1:11" x14ac:dyDescent="0.2">
      <c r="A5">
        <v>10005</v>
      </c>
      <c r="B5">
        <v>54480</v>
      </c>
      <c r="C5">
        <v>-87</v>
      </c>
      <c r="D5">
        <v>1.1399999999999999</v>
      </c>
      <c r="E5" t="s">
        <v>8</v>
      </c>
      <c r="F5" s="19">
        <v>0.53442129629629631</v>
      </c>
      <c r="G5">
        <v>2</v>
      </c>
      <c r="I5">
        <v>10006</v>
      </c>
      <c r="J5">
        <f>COUNTIF(A2:A179, "10006")</f>
        <v>59</v>
      </c>
      <c r="K5">
        <v>-67.525423728813564</v>
      </c>
    </row>
    <row r="6" spans="1:11" x14ac:dyDescent="0.2">
      <c r="A6">
        <v>10004</v>
      </c>
      <c r="B6">
        <v>54480</v>
      </c>
      <c r="C6">
        <v>-43</v>
      </c>
      <c r="D6">
        <v>0</v>
      </c>
      <c r="E6" t="s">
        <v>6</v>
      </c>
      <c r="F6" s="19">
        <v>0.53443287037037035</v>
      </c>
      <c r="G6">
        <v>3</v>
      </c>
      <c r="I6" t="s">
        <v>312</v>
      </c>
      <c r="J6">
        <f>COUNTIF(E2:E179, "")</f>
        <v>24</v>
      </c>
    </row>
    <row r="7" spans="1:11" x14ac:dyDescent="0.2">
      <c r="A7">
        <v>10006</v>
      </c>
      <c r="B7">
        <v>54480</v>
      </c>
      <c r="C7">
        <v>-74</v>
      </c>
      <c r="D7">
        <v>0.22</v>
      </c>
      <c r="E7" t="s">
        <v>8</v>
      </c>
      <c r="F7" s="19">
        <v>0.53443287037037035</v>
      </c>
      <c r="G7">
        <v>3</v>
      </c>
    </row>
    <row r="8" spans="1:11" x14ac:dyDescent="0.2">
      <c r="A8">
        <v>10005</v>
      </c>
      <c r="B8">
        <v>54480</v>
      </c>
      <c r="C8">
        <v>-79</v>
      </c>
      <c r="D8">
        <v>0.44</v>
      </c>
      <c r="E8" t="s">
        <v>8</v>
      </c>
      <c r="F8" s="19">
        <v>0.53443287037037035</v>
      </c>
      <c r="G8">
        <v>3</v>
      </c>
    </row>
    <row r="9" spans="1:11" x14ac:dyDescent="0.2">
      <c r="A9">
        <v>10004</v>
      </c>
      <c r="B9">
        <v>54480</v>
      </c>
      <c r="C9">
        <v>-43</v>
      </c>
      <c r="D9">
        <v>0</v>
      </c>
      <c r="E9" t="s">
        <v>6</v>
      </c>
      <c r="F9" s="19">
        <v>0.53444444444444439</v>
      </c>
      <c r="G9">
        <v>4</v>
      </c>
    </row>
    <row r="10" spans="1:11" x14ac:dyDescent="0.2">
      <c r="A10">
        <v>10006</v>
      </c>
      <c r="B10">
        <v>54480</v>
      </c>
      <c r="C10">
        <v>-74</v>
      </c>
      <c r="D10">
        <v>0.22</v>
      </c>
      <c r="E10" t="s">
        <v>6</v>
      </c>
      <c r="F10" s="19">
        <v>0.53444444444444439</v>
      </c>
      <c r="G10">
        <v>4</v>
      </c>
    </row>
    <row r="11" spans="1:11" x14ac:dyDescent="0.2">
      <c r="A11">
        <v>10005</v>
      </c>
      <c r="B11">
        <v>54480</v>
      </c>
      <c r="C11">
        <v>-79</v>
      </c>
      <c r="D11">
        <v>0.42</v>
      </c>
      <c r="E11" t="s">
        <v>8</v>
      </c>
      <c r="F11" s="19">
        <v>0.53444444444444439</v>
      </c>
      <c r="G11">
        <v>4</v>
      </c>
    </row>
    <row r="12" spans="1:11" x14ac:dyDescent="0.2">
      <c r="A12">
        <v>10004</v>
      </c>
      <c r="B12">
        <v>54480</v>
      </c>
      <c r="C12">
        <v>0</v>
      </c>
      <c r="D12">
        <v>-1</v>
      </c>
      <c r="F12" s="19">
        <v>0.53445601851851854</v>
      </c>
      <c r="G12">
        <v>5</v>
      </c>
    </row>
    <row r="13" spans="1:11" x14ac:dyDescent="0.2">
      <c r="A13">
        <v>10006</v>
      </c>
      <c r="B13">
        <v>54480</v>
      </c>
      <c r="C13">
        <v>-77</v>
      </c>
      <c r="D13">
        <v>0.27</v>
      </c>
      <c r="E13" t="s">
        <v>6</v>
      </c>
      <c r="F13" s="19">
        <v>0.53445601851851854</v>
      </c>
      <c r="G13">
        <v>5</v>
      </c>
    </row>
    <row r="14" spans="1:11" x14ac:dyDescent="0.2">
      <c r="A14">
        <v>10005</v>
      </c>
      <c r="B14">
        <v>54480</v>
      </c>
      <c r="C14">
        <v>-78</v>
      </c>
      <c r="D14">
        <v>0.39</v>
      </c>
      <c r="E14" t="s">
        <v>8</v>
      </c>
      <c r="F14" s="19">
        <v>0.53445601851851854</v>
      </c>
      <c r="G14">
        <v>5</v>
      </c>
    </row>
    <row r="15" spans="1:11" x14ac:dyDescent="0.2">
      <c r="A15">
        <v>10004</v>
      </c>
      <c r="B15">
        <v>54480</v>
      </c>
      <c r="C15">
        <v>-43</v>
      </c>
      <c r="D15">
        <v>0</v>
      </c>
      <c r="E15" t="s">
        <v>6</v>
      </c>
      <c r="F15" s="19">
        <v>0.53446759259259258</v>
      </c>
      <c r="G15">
        <v>6</v>
      </c>
    </row>
    <row r="16" spans="1:11" x14ac:dyDescent="0.2">
      <c r="A16">
        <v>10006</v>
      </c>
      <c r="B16">
        <v>54480</v>
      </c>
      <c r="C16">
        <v>-75</v>
      </c>
      <c r="D16">
        <v>0.25</v>
      </c>
      <c r="E16" t="s">
        <v>6</v>
      </c>
      <c r="F16" s="19">
        <v>0.53446759259259258</v>
      </c>
      <c r="G16">
        <v>6</v>
      </c>
    </row>
    <row r="17" spans="1:7" x14ac:dyDescent="0.2">
      <c r="A17">
        <v>10005</v>
      </c>
      <c r="B17">
        <v>54480</v>
      </c>
      <c r="C17">
        <v>-78</v>
      </c>
      <c r="D17">
        <v>0.37</v>
      </c>
      <c r="E17" t="s">
        <v>8</v>
      </c>
      <c r="F17" s="19">
        <v>0.53446759259259258</v>
      </c>
      <c r="G17">
        <v>6</v>
      </c>
    </row>
    <row r="18" spans="1:7" x14ac:dyDescent="0.2">
      <c r="A18">
        <v>10006</v>
      </c>
      <c r="B18">
        <v>54480</v>
      </c>
      <c r="C18">
        <v>0</v>
      </c>
      <c r="D18">
        <v>-1</v>
      </c>
      <c r="F18" s="19">
        <v>0.53447916666666673</v>
      </c>
      <c r="G18">
        <v>7</v>
      </c>
    </row>
    <row r="19" spans="1:7" x14ac:dyDescent="0.2">
      <c r="A19">
        <v>10004</v>
      </c>
      <c r="B19">
        <v>54480</v>
      </c>
      <c r="C19">
        <v>-44</v>
      </c>
      <c r="D19">
        <v>0</v>
      </c>
      <c r="E19" t="s">
        <v>6</v>
      </c>
      <c r="F19" s="19">
        <v>0.53447916666666673</v>
      </c>
      <c r="G19">
        <v>7</v>
      </c>
    </row>
    <row r="20" spans="1:7" x14ac:dyDescent="0.2">
      <c r="A20">
        <v>10005</v>
      </c>
      <c r="B20">
        <v>54480</v>
      </c>
      <c r="C20">
        <v>-83</v>
      </c>
      <c r="D20">
        <v>0.46</v>
      </c>
      <c r="E20" t="s">
        <v>8</v>
      </c>
      <c r="F20" s="19">
        <v>0.53447916666666673</v>
      </c>
      <c r="G20">
        <v>7</v>
      </c>
    </row>
    <row r="21" spans="1:7" x14ac:dyDescent="0.2">
      <c r="A21">
        <v>10004</v>
      </c>
      <c r="B21">
        <v>54480</v>
      </c>
      <c r="C21">
        <v>0</v>
      </c>
      <c r="D21">
        <v>-1</v>
      </c>
      <c r="F21" s="19">
        <v>0.53449074074074077</v>
      </c>
      <c r="G21">
        <v>8</v>
      </c>
    </row>
    <row r="22" spans="1:7" x14ac:dyDescent="0.2">
      <c r="A22">
        <v>10005</v>
      </c>
      <c r="B22">
        <v>54480</v>
      </c>
      <c r="C22">
        <v>0</v>
      </c>
      <c r="D22">
        <v>-1</v>
      </c>
      <c r="F22" s="19">
        <v>0.53449074074074077</v>
      </c>
      <c r="G22">
        <v>8</v>
      </c>
    </row>
    <row r="23" spans="1:7" x14ac:dyDescent="0.2">
      <c r="A23">
        <v>10006</v>
      </c>
      <c r="B23">
        <v>54480</v>
      </c>
      <c r="C23">
        <v>-74</v>
      </c>
      <c r="D23">
        <v>0.23</v>
      </c>
      <c r="E23" t="s">
        <v>6</v>
      </c>
      <c r="F23" s="19">
        <v>0.53449074074074077</v>
      </c>
      <c r="G23">
        <v>8</v>
      </c>
    </row>
    <row r="24" spans="1:7" x14ac:dyDescent="0.2">
      <c r="A24">
        <v>10006</v>
      </c>
      <c r="B24">
        <v>54480</v>
      </c>
      <c r="C24">
        <v>0</v>
      </c>
      <c r="D24">
        <v>-1</v>
      </c>
      <c r="F24" s="19">
        <v>0.53450231481481481</v>
      </c>
      <c r="G24">
        <v>9</v>
      </c>
    </row>
    <row r="25" spans="1:7" x14ac:dyDescent="0.2">
      <c r="A25">
        <v>10004</v>
      </c>
      <c r="B25">
        <v>54480</v>
      </c>
      <c r="C25">
        <v>-43</v>
      </c>
      <c r="D25">
        <v>0</v>
      </c>
      <c r="E25" t="s">
        <v>6</v>
      </c>
      <c r="F25" s="19">
        <v>0.53450231481481481</v>
      </c>
      <c r="G25">
        <v>9</v>
      </c>
    </row>
    <row r="26" spans="1:7" x14ac:dyDescent="0.2">
      <c r="A26">
        <v>10005</v>
      </c>
      <c r="B26">
        <v>54480</v>
      </c>
      <c r="C26">
        <v>-80</v>
      </c>
      <c r="D26">
        <v>0.46</v>
      </c>
      <c r="E26" t="s">
        <v>8</v>
      </c>
      <c r="F26" s="19">
        <v>0.53450231481481481</v>
      </c>
      <c r="G26">
        <v>9</v>
      </c>
    </row>
    <row r="27" spans="1:7" x14ac:dyDescent="0.2">
      <c r="A27">
        <v>10004</v>
      </c>
      <c r="B27">
        <v>54480</v>
      </c>
      <c r="C27">
        <v>-44</v>
      </c>
      <c r="D27">
        <v>0</v>
      </c>
      <c r="E27" t="s">
        <v>6</v>
      </c>
      <c r="F27" s="19">
        <v>0.53451388888888884</v>
      </c>
      <c r="G27">
        <v>10</v>
      </c>
    </row>
    <row r="28" spans="1:7" x14ac:dyDescent="0.2">
      <c r="A28">
        <v>10006</v>
      </c>
      <c r="B28">
        <v>54480</v>
      </c>
      <c r="C28">
        <v>-74</v>
      </c>
      <c r="D28">
        <v>0.22</v>
      </c>
      <c r="E28" t="s">
        <v>6</v>
      </c>
      <c r="F28" s="19">
        <v>0.53451388888888884</v>
      </c>
      <c r="G28">
        <v>10</v>
      </c>
    </row>
    <row r="29" spans="1:7" x14ac:dyDescent="0.2">
      <c r="A29">
        <v>10005</v>
      </c>
      <c r="B29">
        <v>54480</v>
      </c>
      <c r="C29">
        <v>-78</v>
      </c>
      <c r="D29">
        <v>0.42</v>
      </c>
      <c r="E29" t="s">
        <v>8</v>
      </c>
      <c r="F29" s="19">
        <v>0.53451388888888884</v>
      </c>
      <c r="G29">
        <v>10</v>
      </c>
    </row>
    <row r="30" spans="1:7" x14ac:dyDescent="0.2">
      <c r="A30">
        <v>10004</v>
      </c>
      <c r="B30">
        <v>54480</v>
      </c>
      <c r="C30">
        <v>-43</v>
      </c>
      <c r="D30">
        <v>0</v>
      </c>
      <c r="E30" t="s">
        <v>6</v>
      </c>
      <c r="F30" s="19">
        <v>0.53452546296296299</v>
      </c>
      <c r="G30">
        <v>11</v>
      </c>
    </row>
    <row r="31" spans="1:7" x14ac:dyDescent="0.2">
      <c r="A31">
        <v>10006</v>
      </c>
      <c r="B31">
        <v>54480</v>
      </c>
      <c r="C31">
        <v>-78</v>
      </c>
      <c r="D31">
        <v>0.27</v>
      </c>
      <c r="E31" t="s">
        <v>6</v>
      </c>
      <c r="F31" s="19">
        <v>0.53452546296296299</v>
      </c>
      <c r="G31">
        <v>11</v>
      </c>
    </row>
    <row r="32" spans="1:7" x14ac:dyDescent="0.2">
      <c r="A32">
        <v>10005</v>
      </c>
      <c r="B32">
        <v>54480</v>
      </c>
      <c r="C32">
        <v>-82</v>
      </c>
      <c r="D32">
        <v>0.46</v>
      </c>
      <c r="E32" t="s">
        <v>8</v>
      </c>
      <c r="F32" s="19">
        <v>0.53452546296296299</v>
      </c>
      <c r="G32">
        <v>11</v>
      </c>
    </row>
    <row r="33" spans="1:7" x14ac:dyDescent="0.2">
      <c r="A33">
        <v>10005</v>
      </c>
      <c r="B33">
        <v>54480</v>
      </c>
      <c r="C33">
        <v>0</v>
      </c>
      <c r="D33">
        <v>-1</v>
      </c>
      <c r="F33" s="19">
        <v>0.53453703703703703</v>
      </c>
      <c r="G33">
        <v>12</v>
      </c>
    </row>
    <row r="34" spans="1:7" x14ac:dyDescent="0.2">
      <c r="A34">
        <v>10004</v>
      </c>
      <c r="B34">
        <v>54480</v>
      </c>
      <c r="C34">
        <v>-43</v>
      </c>
      <c r="D34">
        <v>0</v>
      </c>
      <c r="E34" t="s">
        <v>6</v>
      </c>
      <c r="F34" s="19">
        <v>0.53453703703703703</v>
      </c>
      <c r="G34">
        <v>12</v>
      </c>
    </row>
    <row r="35" spans="1:7" x14ac:dyDescent="0.2">
      <c r="A35">
        <v>10006</v>
      </c>
      <c r="B35">
        <v>54480</v>
      </c>
      <c r="C35">
        <v>-80</v>
      </c>
      <c r="D35">
        <v>0.32</v>
      </c>
      <c r="E35" t="s">
        <v>8</v>
      </c>
      <c r="F35" s="19">
        <v>0.53453703703703703</v>
      </c>
      <c r="G35">
        <v>12</v>
      </c>
    </row>
    <row r="36" spans="1:7" x14ac:dyDescent="0.2">
      <c r="A36">
        <v>10004</v>
      </c>
      <c r="B36">
        <v>54480</v>
      </c>
      <c r="C36">
        <v>-43</v>
      </c>
      <c r="D36">
        <v>0</v>
      </c>
      <c r="E36" t="s">
        <v>6</v>
      </c>
      <c r="F36" s="19">
        <v>0.53454861111111118</v>
      </c>
      <c r="G36">
        <v>13</v>
      </c>
    </row>
    <row r="37" spans="1:7" x14ac:dyDescent="0.2">
      <c r="A37">
        <v>10006</v>
      </c>
      <c r="B37">
        <v>54480</v>
      </c>
      <c r="C37">
        <v>-79</v>
      </c>
      <c r="D37">
        <v>0.34</v>
      </c>
      <c r="E37" t="s">
        <v>8</v>
      </c>
      <c r="F37" s="19">
        <v>0.53454861111111118</v>
      </c>
      <c r="G37">
        <v>13</v>
      </c>
    </row>
    <row r="38" spans="1:7" x14ac:dyDescent="0.2">
      <c r="A38">
        <v>10005</v>
      </c>
      <c r="B38">
        <v>54480</v>
      </c>
      <c r="C38">
        <v>-82</v>
      </c>
      <c r="D38">
        <v>0.49</v>
      </c>
      <c r="E38" t="s">
        <v>8</v>
      </c>
      <c r="F38" s="19">
        <v>0.53454861111111118</v>
      </c>
      <c r="G38">
        <v>13</v>
      </c>
    </row>
    <row r="39" spans="1:7" x14ac:dyDescent="0.2">
      <c r="A39">
        <v>10004</v>
      </c>
      <c r="B39">
        <v>54480</v>
      </c>
      <c r="C39">
        <v>-43</v>
      </c>
      <c r="D39">
        <v>0</v>
      </c>
      <c r="E39" t="s">
        <v>6</v>
      </c>
      <c r="F39" s="19">
        <v>0.53456018518518522</v>
      </c>
      <c r="G39">
        <v>14</v>
      </c>
    </row>
    <row r="40" spans="1:7" x14ac:dyDescent="0.2">
      <c r="A40">
        <v>10006</v>
      </c>
      <c r="B40">
        <v>54480</v>
      </c>
      <c r="C40">
        <v>-79</v>
      </c>
      <c r="D40">
        <v>0.35</v>
      </c>
      <c r="E40" t="s">
        <v>8</v>
      </c>
      <c r="F40" s="19">
        <v>0.53456018518518522</v>
      </c>
      <c r="G40">
        <v>14</v>
      </c>
    </row>
    <row r="41" spans="1:7" x14ac:dyDescent="0.2">
      <c r="A41">
        <v>10005</v>
      </c>
      <c r="B41">
        <v>54480</v>
      </c>
      <c r="C41">
        <v>-79</v>
      </c>
      <c r="D41">
        <v>0.46</v>
      </c>
      <c r="E41" t="s">
        <v>8</v>
      </c>
      <c r="F41" s="19">
        <v>0.53456018518518522</v>
      </c>
      <c r="G41">
        <v>14</v>
      </c>
    </row>
    <row r="42" spans="1:7" x14ac:dyDescent="0.2">
      <c r="A42">
        <v>10006</v>
      </c>
      <c r="B42">
        <v>54480</v>
      </c>
      <c r="C42">
        <v>0</v>
      </c>
      <c r="D42">
        <v>-1</v>
      </c>
      <c r="F42" s="19">
        <v>0.53457175925925926</v>
      </c>
      <c r="G42">
        <v>15</v>
      </c>
    </row>
    <row r="43" spans="1:7" x14ac:dyDescent="0.2">
      <c r="A43">
        <v>10004</v>
      </c>
      <c r="B43">
        <v>54480</v>
      </c>
      <c r="C43">
        <v>-43</v>
      </c>
      <c r="D43">
        <v>0</v>
      </c>
      <c r="E43" t="s">
        <v>6</v>
      </c>
      <c r="F43" s="19">
        <v>0.53457175925925926</v>
      </c>
      <c r="G43">
        <v>15</v>
      </c>
    </row>
    <row r="44" spans="1:7" x14ac:dyDescent="0.2">
      <c r="A44">
        <v>10005</v>
      </c>
      <c r="B44">
        <v>54480</v>
      </c>
      <c r="C44">
        <v>-79</v>
      </c>
      <c r="D44">
        <v>0.45</v>
      </c>
      <c r="E44" t="s">
        <v>8</v>
      </c>
      <c r="F44" s="19">
        <v>0.53457175925925926</v>
      </c>
      <c r="G44">
        <v>15</v>
      </c>
    </row>
    <row r="45" spans="1:7" x14ac:dyDescent="0.2">
      <c r="A45">
        <v>10004</v>
      </c>
      <c r="B45">
        <v>54480</v>
      </c>
      <c r="C45">
        <v>-43</v>
      </c>
      <c r="D45">
        <v>0</v>
      </c>
      <c r="E45" t="s">
        <v>6</v>
      </c>
      <c r="F45" s="19">
        <v>0.5345833333333333</v>
      </c>
      <c r="G45">
        <v>16</v>
      </c>
    </row>
    <row r="46" spans="1:7" x14ac:dyDescent="0.2">
      <c r="A46">
        <v>10006</v>
      </c>
      <c r="B46">
        <v>54480</v>
      </c>
      <c r="C46">
        <v>-78</v>
      </c>
      <c r="D46">
        <v>0.35</v>
      </c>
      <c r="E46" t="s">
        <v>8</v>
      </c>
      <c r="F46" s="19">
        <v>0.5345833333333333</v>
      </c>
      <c r="G46">
        <v>16</v>
      </c>
    </row>
    <row r="47" spans="1:7" x14ac:dyDescent="0.2">
      <c r="A47">
        <v>10005</v>
      </c>
      <c r="B47">
        <v>54480</v>
      </c>
      <c r="C47">
        <v>-78</v>
      </c>
      <c r="D47">
        <v>0.43</v>
      </c>
      <c r="E47" t="s">
        <v>8</v>
      </c>
      <c r="F47" s="19">
        <v>0.5345833333333333</v>
      </c>
      <c r="G47">
        <v>16</v>
      </c>
    </row>
    <row r="48" spans="1:7" x14ac:dyDescent="0.2">
      <c r="A48">
        <v>10004</v>
      </c>
      <c r="B48">
        <v>54480</v>
      </c>
      <c r="C48">
        <v>-43</v>
      </c>
      <c r="D48">
        <v>0</v>
      </c>
      <c r="E48" t="s">
        <v>6</v>
      </c>
      <c r="F48" s="19">
        <v>0.53459490740740734</v>
      </c>
      <c r="G48">
        <v>17</v>
      </c>
    </row>
    <row r="49" spans="1:7" x14ac:dyDescent="0.2">
      <c r="A49">
        <v>10006</v>
      </c>
      <c r="B49">
        <v>54480</v>
      </c>
      <c r="C49">
        <v>-79</v>
      </c>
      <c r="D49">
        <v>0.37</v>
      </c>
      <c r="E49" t="s">
        <v>8</v>
      </c>
      <c r="F49" s="19">
        <v>0.53459490740740734</v>
      </c>
      <c r="G49">
        <v>17</v>
      </c>
    </row>
    <row r="50" spans="1:7" x14ac:dyDescent="0.2">
      <c r="A50">
        <v>10005</v>
      </c>
      <c r="B50">
        <v>54480</v>
      </c>
      <c r="C50">
        <v>-78</v>
      </c>
      <c r="D50">
        <v>0.41</v>
      </c>
      <c r="E50" t="s">
        <v>8</v>
      </c>
      <c r="F50" s="19">
        <v>0.53459490740740734</v>
      </c>
      <c r="G50">
        <v>17</v>
      </c>
    </row>
    <row r="51" spans="1:7" x14ac:dyDescent="0.2">
      <c r="A51">
        <v>10005</v>
      </c>
      <c r="B51">
        <v>54480</v>
      </c>
      <c r="C51">
        <v>0</v>
      </c>
      <c r="D51">
        <v>-1</v>
      </c>
      <c r="F51" s="19">
        <v>0.53460648148148149</v>
      </c>
      <c r="G51">
        <v>18</v>
      </c>
    </row>
    <row r="52" spans="1:7" x14ac:dyDescent="0.2">
      <c r="A52">
        <v>10004</v>
      </c>
      <c r="B52">
        <v>54480</v>
      </c>
      <c r="C52">
        <v>-44</v>
      </c>
      <c r="D52">
        <v>0</v>
      </c>
      <c r="E52" t="s">
        <v>6</v>
      </c>
      <c r="F52" s="19">
        <v>0.53460648148148149</v>
      </c>
      <c r="G52">
        <v>18</v>
      </c>
    </row>
    <row r="53" spans="1:7" x14ac:dyDescent="0.2">
      <c r="A53">
        <v>10006</v>
      </c>
      <c r="B53">
        <v>54480</v>
      </c>
      <c r="C53">
        <v>-76</v>
      </c>
      <c r="D53">
        <v>0.34</v>
      </c>
      <c r="E53" t="s">
        <v>8</v>
      </c>
      <c r="F53" s="19">
        <v>0.53460648148148149</v>
      </c>
      <c r="G53">
        <v>18</v>
      </c>
    </row>
    <row r="54" spans="1:7" x14ac:dyDescent="0.2">
      <c r="A54">
        <v>10004</v>
      </c>
      <c r="B54">
        <v>54480</v>
      </c>
      <c r="C54">
        <v>-44</v>
      </c>
      <c r="D54">
        <v>0</v>
      </c>
      <c r="E54" t="s">
        <v>6</v>
      </c>
      <c r="F54" s="19">
        <v>0.53461805555555553</v>
      </c>
      <c r="G54">
        <v>19</v>
      </c>
    </row>
    <row r="55" spans="1:7" x14ac:dyDescent="0.2">
      <c r="A55">
        <v>10006</v>
      </c>
      <c r="B55">
        <v>54480</v>
      </c>
      <c r="C55">
        <v>-75</v>
      </c>
      <c r="D55">
        <v>0.31</v>
      </c>
      <c r="E55" t="s">
        <v>6</v>
      </c>
      <c r="F55" s="19">
        <v>0.53461805555555553</v>
      </c>
      <c r="G55">
        <v>19</v>
      </c>
    </row>
    <row r="56" spans="1:7" x14ac:dyDescent="0.2">
      <c r="A56">
        <v>10005</v>
      </c>
      <c r="B56">
        <v>54480</v>
      </c>
      <c r="C56">
        <v>-78</v>
      </c>
      <c r="D56">
        <v>0.4</v>
      </c>
      <c r="E56" t="s">
        <v>8</v>
      </c>
      <c r="F56" s="19">
        <v>0.53461805555555553</v>
      </c>
      <c r="G56">
        <v>19</v>
      </c>
    </row>
    <row r="57" spans="1:7" x14ac:dyDescent="0.2">
      <c r="A57">
        <v>10004</v>
      </c>
      <c r="B57">
        <v>54480</v>
      </c>
      <c r="C57">
        <v>-43</v>
      </c>
      <c r="D57">
        <v>0</v>
      </c>
      <c r="E57" t="s">
        <v>6</v>
      </c>
      <c r="F57" s="19">
        <v>0.53462962962962968</v>
      </c>
      <c r="G57">
        <v>20</v>
      </c>
    </row>
    <row r="58" spans="1:7" x14ac:dyDescent="0.2">
      <c r="A58">
        <v>10006</v>
      </c>
      <c r="B58">
        <v>54480</v>
      </c>
      <c r="C58">
        <v>-75</v>
      </c>
      <c r="D58">
        <v>0.28999999999999998</v>
      </c>
      <c r="E58" t="s">
        <v>6</v>
      </c>
      <c r="F58" s="19">
        <v>0.53462962962962968</v>
      </c>
      <c r="G58">
        <v>20</v>
      </c>
    </row>
    <row r="59" spans="1:7" x14ac:dyDescent="0.2">
      <c r="A59">
        <v>10005</v>
      </c>
      <c r="B59">
        <v>54480</v>
      </c>
      <c r="C59">
        <v>-78</v>
      </c>
      <c r="D59">
        <v>0.39</v>
      </c>
      <c r="E59" t="s">
        <v>8</v>
      </c>
      <c r="F59" s="19">
        <v>0.53462962962962968</v>
      </c>
      <c r="G59">
        <v>20</v>
      </c>
    </row>
    <row r="60" spans="1:7" x14ac:dyDescent="0.2">
      <c r="A60">
        <v>10004</v>
      </c>
      <c r="B60">
        <v>54480</v>
      </c>
      <c r="C60">
        <v>-43</v>
      </c>
      <c r="D60">
        <v>0</v>
      </c>
      <c r="E60" t="s">
        <v>6</v>
      </c>
      <c r="F60" s="19">
        <v>0.53464120370370372</v>
      </c>
      <c r="G60">
        <v>21</v>
      </c>
    </row>
    <row r="61" spans="1:7" x14ac:dyDescent="0.2">
      <c r="A61">
        <v>10006</v>
      </c>
      <c r="B61">
        <v>54480</v>
      </c>
      <c r="C61">
        <v>-75</v>
      </c>
      <c r="D61">
        <v>0.28000000000000003</v>
      </c>
      <c r="E61" t="s">
        <v>6</v>
      </c>
      <c r="F61" s="19">
        <v>0.53464120370370372</v>
      </c>
      <c r="G61">
        <v>21</v>
      </c>
    </row>
    <row r="62" spans="1:7" x14ac:dyDescent="0.2">
      <c r="A62">
        <v>10005</v>
      </c>
      <c r="B62">
        <v>54480</v>
      </c>
      <c r="C62">
        <v>-78</v>
      </c>
      <c r="D62">
        <v>0.38</v>
      </c>
      <c r="E62" t="s">
        <v>8</v>
      </c>
      <c r="F62" s="19">
        <v>0.53464120370370372</v>
      </c>
      <c r="G62">
        <v>21</v>
      </c>
    </row>
    <row r="63" spans="1:7" x14ac:dyDescent="0.2">
      <c r="A63">
        <v>10004</v>
      </c>
      <c r="B63">
        <v>54480</v>
      </c>
      <c r="C63">
        <v>-43</v>
      </c>
      <c r="D63">
        <v>0</v>
      </c>
      <c r="E63" t="s">
        <v>6</v>
      </c>
      <c r="F63" s="19">
        <v>0.53465277777777775</v>
      </c>
      <c r="G63">
        <v>22</v>
      </c>
    </row>
    <row r="64" spans="1:7" x14ac:dyDescent="0.2">
      <c r="A64">
        <v>10006</v>
      </c>
      <c r="B64">
        <v>54480</v>
      </c>
      <c r="C64">
        <v>-75</v>
      </c>
      <c r="D64">
        <v>0.27</v>
      </c>
      <c r="E64" t="s">
        <v>8</v>
      </c>
      <c r="F64" s="19">
        <v>0.53465277777777775</v>
      </c>
      <c r="G64">
        <v>22</v>
      </c>
    </row>
    <row r="65" spans="1:7" x14ac:dyDescent="0.2">
      <c r="A65">
        <v>10005</v>
      </c>
      <c r="B65">
        <v>54480</v>
      </c>
      <c r="C65">
        <v>-78</v>
      </c>
      <c r="D65">
        <v>0.38</v>
      </c>
      <c r="E65" t="s">
        <v>8</v>
      </c>
      <c r="F65" s="19">
        <v>0.53465277777777775</v>
      </c>
      <c r="G65">
        <v>22</v>
      </c>
    </row>
    <row r="66" spans="1:7" x14ac:dyDescent="0.2">
      <c r="A66">
        <v>10004</v>
      </c>
      <c r="B66">
        <v>54480</v>
      </c>
      <c r="C66">
        <v>-43</v>
      </c>
      <c r="D66">
        <v>0</v>
      </c>
      <c r="E66" t="s">
        <v>6</v>
      </c>
      <c r="F66" s="19">
        <v>0.53466435185185179</v>
      </c>
      <c r="G66">
        <v>23</v>
      </c>
    </row>
    <row r="67" spans="1:7" x14ac:dyDescent="0.2">
      <c r="A67">
        <v>10006</v>
      </c>
      <c r="B67">
        <v>54480</v>
      </c>
      <c r="C67">
        <v>-76</v>
      </c>
      <c r="D67">
        <v>0.27</v>
      </c>
      <c r="E67" t="s">
        <v>6</v>
      </c>
      <c r="F67" s="19">
        <v>0.53466435185185179</v>
      </c>
      <c r="G67">
        <v>23</v>
      </c>
    </row>
    <row r="68" spans="1:7" x14ac:dyDescent="0.2">
      <c r="A68">
        <v>10005</v>
      </c>
      <c r="B68">
        <v>54480</v>
      </c>
      <c r="C68">
        <v>-79</v>
      </c>
      <c r="D68">
        <v>0.38</v>
      </c>
      <c r="E68" t="s">
        <v>8</v>
      </c>
      <c r="F68" s="19">
        <v>0.53466435185185179</v>
      </c>
      <c r="G68">
        <v>23</v>
      </c>
    </row>
    <row r="69" spans="1:7" x14ac:dyDescent="0.2">
      <c r="A69">
        <v>10004</v>
      </c>
      <c r="B69">
        <v>54480</v>
      </c>
      <c r="C69">
        <v>-43</v>
      </c>
      <c r="D69">
        <v>0</v>
      </c>
      <c r="E69" t="s">
        <v>6</v>
      </c>
      <c r="F69" s="19">
        <v>0.53467592592592594</v>
      </c>
      <c r="G69">
        <v>24</v>
      </c>
    </row>
    <row r="70" spans="1:7" x14ac:dyDescent="0.2">
      <c r="A70">
        <v>10006</v>
      </c>
      <c r="B70">
        <v>54480</v>
      </c>
      <c r="C70">
        <v>-76</v>
      </c>
      <c r="D70">
        <v>0.27</v>
      </c>
      <c r="E70" t="s">
        <v>6</v>
      </c>
      <c r="F70" s="19">
        <v>0.53467592592592594</v>
      </c>
      <c r="G70">
        <v>24</v>
      </c>
    </row>
    <row r="71" spans="1:7" x14ac:dyDescent="0.2">
      <c r="A71">
        <v>10005</v>
      </c>
      <c r="B71">
        <v>54480</v>
      </c>
      <c r="C71">
        <v>-80</v>
      </c>
      <c r="D71">
        <v>0.4</v>
      </c>
      <c r="E71" t="s">
        <v>8</v>
      </c>
      <c r="F71" s="19">
        <v>0.53467592592592594</v>
      </c>
      <c r="G71">
        <v>24</v>
      </c>
    </row>
    <row r="72" spans="1:7" x14ac:dyDescent="0.2">
      <c r="A72">
        <v>10004</v>
      </c>
      <c r="B72">
        <v>54480</v>
      </c>
      <c r="C72">
        <v>-43</v>
      </c>
      <c r="D72">
        <v>0</v>
      </c>
      <c r="E72" t="s">
        <v>6</v>
      </c>
      <c r="F72" s="19">
        <v>0.53468749999999998</v>
      </c>
      <c r="G72">
        <v>25</v>
      </c>
    </row>
    <row r="73" spans="1:7" x14ac:dyDescent="0.2">
      <c r="A73">
        <v>10006</v>
      </c>
      <c r="B73">
        <v>54480</v>
      </c>
      <c r="C73">
        <v>-76</v>
      </c>
      <c r="D73">
        <v>0.28000000000000003</v>
      </c>
      <c r="E73" t="s">
        <v>6</v>
      </c>
      <c r="F73" s="19">
        <v>0.53468749999999998</v>
      </c>
      <c r="G73">
        <v>25</v>
      </c>
    </row>
    <row r="74" spans="1:7" x14ac:dyDescent="0.2">
      <c r="A74">
        <v>10005</v>
      </c>
      <c r="B74">
        <v>54480</v>
      </c>
      <c r="C74">
        <v>-79</v>
      </c>
      <c r="D74">
        <v>0.4</v>
      </c>
      <c r="E74" t="s">
        <v>8</v>
      </c>
      <c r="F74" s="19">
        <v>0.53468749999999998</v>
      </c>
      <c r="G74">
        <v>25</v>
      </c>
    </row>
    <row r="75" spans="1:7" x14ac:dyDescent="0.2">
      <c r="A75">
        <v>10004</v>
      </c>
      <c r="B75">
        <v>54480</v>
      </c>
      <c r="C75">
        <v>-43</v>
      </c>
      <c r="D75">
        <v>0</v>
      </c>
      <c r="E75" t="s">
        <v>6</v>
      </c>
      <c r="F75" s="19">
        <v>0.53469907407407413</v>
      </c>
      <c r="G75">
        <v>26</v>
      </c>
    </row>
    <row r="76" spans="1:7" x14ac:dyDescent="0.2">
      <c r="A76">
        <v>10006</v>
      </c>
      <c r="B76">
        <v>54480</v>
      </c>
      <c r="C76">
        <v>-77</v>
      </c>
      <c r="D76">
        <v>0.28000000000000003</v>
      </c>
      <c r="E76" t="s">
        <v>8</v>
      </c>
      <c r="F76" s="19">
        <v>0.53469907407407413</v>
      </c>
      <c r="G76">
        <v>26</v>
      </c>
    </row>
    <row r="77" spans="1:7" x14ac:dyDescent="0.2">
      <c r="A77">
        <v>10005</v>
      </c>
      <c r="B77">
        <v>54480</v>
      </c>
      <c r="C77">
        <v>-79</v>
      </c>
      <c r="D77">
        <v>0.4</v>
      </c>
      <c r="E77" t="s">
        <v>8</v>
      </c>
      <c r="F77" s="19">
        <v>0.53469907407407413</v>
      </c>
      <c r="G77">
        <v>26</v>
      </c>
    </row>
    <row r="78" spans="1:7" x14ac:dyDescent="0.2">
      <c r="A78">
        <v>10004</v>
      </c>
      <c r="B78">
        <v>54480</v>
      </c>
      <c r="C78">
        <v>-43</v>
      </c>
      <c r="D78">
        <v>0</v>
      </c>
      <c r="E78" t="s">
        <v>6</v>
      </c>
      <c r="F78" s="19">
        <v>0.53471064814814817</v>
      </c>
      <c r="G78">
        <v>27</v>
      </c>
    </row>
    <row r="79" spans="1:7" x14ac:dyDescent="0.2">
      <c r="A79">
        <v>10006</v>
      </c>
      <c r="B79">
        <v>54480</v>
      </c>
      <c r="C79">
        <v>-82</v>
      </c>
      <c r="D79">
        <v>0.32</v>
      </c>
      <c r="E79" t="s">
        <v>8</v>
      </c>
      <c r="F79" s="19">
        <v>0.53471064814814817</v>
      </c>
      <c r="G79">
        <v>27</v>
      </c>
    </row>
    <row r="80" spans="1:7" x14ac:dyDescent="0.2">
      <c r="A80">
        <v>10005</v>
      </c>
      <c r="B80">
        <v>54480</v>
      </c>
      <c r="C80">
        <v>-78</v>
      </c>
      <c r="D80">
        <v>0.39</v>
      </c>
      <c r="E80" t="s">
        <v>8</v>
      </c>
      <c r="F80" s="19">
        <v>0.53471064814814817</v>
      </c>
      <c r="G80">
        <v>27</v>
      </c>
    </row>
    <row r="81" spans="1:7" x14ac:dyDescent="0.2">
      <c r="A81">
        <v>10004</v>
      </c>
      <c r="B81">
        <v>54480</v>
      </c>
      <c r="C81">
        <v>-43</v>
      </c>
      <c r="D81">
        <v>0</v>
      </c>
      <c r="E81" t="s">
        <v>6</v>
      </c>
      <c r="F81" s="19">
        <v>0.53472222222222221</v>
      </c>
      <c r="G81">
        <v>28</v>
      </c>
    </row>
    <row r="82" spans="1:7" x14ac:dyDescent="0.2">
      <c r="A82">
        <v>10006</v>
      </c>
      <c r="B82">
        <v>54480</v>
      </c>
      <c r="C82">
        <v>-79</v>
      </c>
      <c r="D82">
        <v>0.34</v>
      </c>
      <c r="E82" t="s">
        <v>8</v>
      </c>
      <c r="F82" s="19">
        <v>0.53472222222222221</v>
      </c>
      <c r="G82">
        <v>28</v>
      </c>
    </row>
    <row r="83" spans="1:7" x14ac:dyDescent="0.2">
      <c r="A83">
        <v>10005</v>
      </c>
      <c r="B83">
        <v>54480</v>
      </c>
      <c r="C83">
        <v>-78</v>
      </c>
      <c r="D83">
        <v>0.39</v>
      </c>
      <c r="E83" t="s">
        <v>8</v>
      </c>
      <c r="F83" s="19">
        <v>0.53472222222222221</v>
      </c>
      <c r="G83">
        <v>28</v>
      </c>
    </row>
    <row r="84" spans="1:7" x14ac:dyDescent="0.2">
      <c r="A84">
        <v>10005</v>
      </c>
      <c r="B84">
        <v>54480</v>
      </c>
      <c r="C84">
        <v>0</v>
      </c>
      <c r="D84">
        <v>-1</v>
      </c>
      <c r="F84" s="19">
        <v>0.53473379629629625</v>
      </c>
      <c r="G84">
        <v>29</v>
      </c>
    </row>
    <row r="85" spans="1:7" x14ac:dyDescent="0.2">
      <c r="A85">
        <v>10004</v>
      </c>
      <c r="B85">
        <v>54480</v>
      </c>
      <c r="C85">
        <v>-43</v>
      </c>
      <c r="D85">
        <v>0</v>
      </c>
      <c r="E85" t="s">
        <v>6</v>
      </c>
      <c r="F85" s="19">
        <v>0.53473379629629625</v>
      </c>
      <c r="G85">
        <v>29</v>
      </c>
    </row>
    <row r="86" spans="1:7" x14ac:dyDescent="0.2">
      <c r="A86">
        <v>10006</v>
      </c>
      <c r="B86">
        <v>54480</v>
      </c>
      <c r="C86">
        <v>-79</v>
      </c>
      <c r="D86">
        <v>0.35</v>
      </c>
      <c r="E86" t="s">
        <v>8</v>
      </c>
      <c r="F86" s="19">
        <v>0.53473379629629625</v>
      </c>
      <c r="G86">
        <v>29</v>
      </c>
    </row>
    <row r="87" spans="1:7" x14ac:dyDescent="0.2">
      <c r="A87">
        <v>10005</v>
      </c>
      <c r="B87">
        <v>54480</v>
      </c>
      <c r="C87">
        <v>0</v>
      </c>
      <c r="D87">
        <v>-1</v>
      </c>
      <c r="F87" s="19">
        <v>0.5347453703703704</v>
      </c>
      <c r="G87">
        <v>30</v>
      </c>
    </row>
    <row r="88" spans="1:7" x14ac:dyDescent="0.2">
      <c r="A88">
        <v>10004</v>
      </c>
      <c r="B88">
        <v>54480</v>
      </c>
      <c r="C88">
        <v>-44</v>
      </c>
      <c r="D88">
        <v>0</v>
      </c>
      <c r="E88" t="s">
        <v>6</v>
      </c>
      <c r="F88" s="19">
        <v>0.5347453703703704</v>
      </c>
      <c r="G88">
        <v>30</v>
      </c>
    </row>
    <row r="89" spans="1:7" x14ac:dyDescent="0.2">
      <c r="A89">
        <v>10006</v>
      </c>
      <c r="B89">
        <v>54480</v>
      </c>
      <c r="C89">
        <v>-74</v>
      </c>
      <c r="D89">
        <v>0.31</v>
      </c>
      <c r="E89" t="s">
        <v>6</v>
      </c>
      <c r="F89" s="19">
        <v>0.5347453703703704</v>
      </c>
      <c r="G89">
        <v>30</v>
      </c>
    </row>
    <row r="90" spans="1:7" x14ac:dyDescent="0.2">
      <c r="A90">
        <v>10004</v>
      </c>
      <c r="B90">
        <v>54480</v>
      </c>
      <c r="C90">
        <v>-43</v>
      </c>
      <c r="D90">
        <v>0</v>
      </c>
      <c r="E90" t="s">
        <v>6</v>
      </c>
      <c r="F90" s="19">
        <v>0.53475694444444444</v>
      </c>
      <c r="G90">
        <v>31</v>
      </c>
    </row>
    <row r="91" spans="1:7" x14ac:dyDescent="0.2">
      <c r="A91">
        <v>10006</v>
      </c>
      <c r="B91">
        <v>54480</v>
      </c>
      <c r="C91">
        <v>-80</v>
      </c>
      <c r="D91">
        <v>0.33</v>
      </c>
      <c r="E91" t="s">
        <v>6</v>
      </c>
      <c r="F91" s="19">
        <v>0.53475694444444444</v>
      </c>
      <c r="G91">
        <v>31</v>
      </c>
    </row>
    <row r="92" spans="1:7" x14ac:dyDescent="0.2">
      <c r="A92">
        <v>10005</v>
      </c>
      <c r="B92">
        <v>54480</v>
      </c>
      <c r="C92">
        <v>-84</v>
      </c>
      <c r="D92">
        <v>0.43</v>
      </c>
      <c r="E92" t="s">
        <v>8</v>
      </c>
      <c r="F92" s="19">
        <v>0.53475694444444444</v>
      </c>
      <c r="G92">
        <v>31</v>
      </c>
    </row>
    <row r="93" spans="1:7" x14ac:dyDescent="0.2">
      <c r="A93">
        <v>10004</v>
      </c>
      <c r="B93">
        <v>54480</v>
      </c>
      <c r="C93">
        <v>-43</v>
      </c>
      <c r="D93">
        <v>0</v>
      </c>
      <c r="E93" t="s">
        <v>6</v>
      </c>
      <c r="F93" s="19">
        <v>0.53476851851851859</v>
      </c>
      <c r="G93">
        <v>32</v>
      </c>
    </row>
    <row r="94" spans="1:7" x14ac:dyDescent="0.2">
      <c r="A94">
        <v>10006</v>
      </c>
      <c r="B94">
        <v>54480</v>
      </c>
      <c r="C94">
        <v>-75</v>
      </c>
      <c r="D94">
        <v>0.31</v>
      </c>
      <c r="E94" t="s">
        <v>6</v>
      </c>
      <c r="F94" s="19">
        <v>0.53476851851851859</v>
      </c>
      <c r="G94">
        <v>32</v>
      </c>
    </row>
    <row r="95" spans="1:7" x14ac:dyDescent="0.2">
      <c r="A95">
        <v>10005</v>
      </c>
      <c r="B95">
        <v>54480</v>
      </c>
      <c r="C95">
        <v>-79</v>
      </c>
      <c r="D95">
        <v>0.42</v>
      </c>
      <c r="E95" t="s">
        <v>8</v>
      </c>
      <c r="F95" s="19">
        <v>0.53476851851851859</v>
      </c>
      <c r="G95">
        <v>32</v>
      </c>
    </row>
    <row r="96" spans="1:7" x14ac:dyDescent="0.2">
      <c r="A96">
        <v>10006</v>
      </c>
      <c r="B96">
        <v>54480</v>
      </c>
      <c r="C96">
        <v>0</v>
      </c>
      <c r="D96">
        <v>-1</v>
      </c>
      <c r="F96" s="19">
        <v>0.53478009259259263</v>
      </c>
      <c r="G96">
        <v>33</v>
      </c>
    </row>
    <row r="97" spans="1:7" x14ac:dyDescent="0.2">
      <c r="A97">
        <v>10004</v>
      </c>
      <c r="B97">
        <v>54480</v>
      </c>
      <c r="C97">
        <v>-44</v>
      </c>
      <c r="D97">
        <v>0</v>
      </c>
      <c r="E97" t="s">
        <v>6</v>
      </c>
      <c r="F97" s="19">
        <v>0.53478009259259263</v>
      </c>
      <c r="G97">
        <v>33</v>
      </c>
    </row>
    <row r="98" spans="1:7" x14ac:dyDescent="0.2">
      <c r="A98">
        <v>10005</v>
      </c>
      <c r="B98">
        <v>54480</v>
      </c>
      <c r="C98">
        <v>-82</v>
      </c>
      <c r="D98">
        <v>0.46</v>
      </c>
      <c r="E98" t="s">
        <v>8</v>
      </c>
      <c r="F98" s="19">
        <v>0.53478009259259263</v>
      </c>
      <c r="G98">
        <v>33</v>
      </c>
    </row>
    <row r="99" spans="1:7" x14ac:dyDescent="0.2">
      <c r="A99">
        <v>10004</v>
      </c>
      <c r="B99">
        <v>54480</v>
      </c>
      <c r="C99">
        <v>0</v>
      </c>
      <c r="D99">
        <v>-1</v>
      </c>
      <c r="F99" s="19">
        <v>0.53479166666666667</v>
      </c>
      <c r="G99">
        <v>34</v>
      </c>
    </row>
    <row r="100" spans="1:7" x14ac:dyDescent="0.2">
      <c r="A100">
        <v>10006</v>
      </c>
      <c r="B100">
        <v>54480</v>
      </c>
      <c r="C100">
        <v>0</v>
      </c>
      <c r="D100">
        <v>-1</v>
      </c>
      <c r="F100" s="19">
        <v>0.53479166666666667</v>
      </c>
      <c r="G100">
        <v>34</v>
      </c>
    </row>
    <row r="101" spans="1:7" x14ac:dyDescent="0.2">
      <c r="A101">
        <v>10005</v>
      </c>
      <c r="B101">
        <v>54480</v>
      </c>
      <c r="C101">
        <v>-79</v>
      </c>
      <c r="D101">
        <v>0.45</v>
      </c>
      <c r="E101" t="s">
        <v>8</v>
      </c>
      <c r="F101" s="19">
        <v>0.53479166666666667</v>
      </c>
      <c r="G101">
        <v>34</v>
      </c>
    </row>
    <row r="102" spans="1:7" x14ac:dyDescent="0.2">
      <c r="A102">
        <v>10004</v>
      </c>
      <c r="B102">
        <v>54480</v>
      </c>
      <c r="C102">
        <v>-44</v>
      </c>
      <c r="D102">
        <v>0</v>
      </c>
      <c r="E102" t="s">
        <v>6</v>
      </c>
      <c r="F102" s="19">
        <v>0.5348032407407407</v>
      </c>
      <c r="G102">
        <v>35</v>
      </c>
    </row>
    <row r="103" spans="1:7" x14ac:dyDescent="0.2">
      <c r="A103">
        <v>10006</v>
      </c>
      <c r="B103">
        <v>54480</v>
      </c>
      <c r="C103">
        <v>-77</v>
      </c>
      <c r="D103">
        <v>0.31</v>
      </c>
      <c r="E103" t="s">
        <v>6</v>
      </c>
      <c r="F103" s="19">
        <v>0.5348032407407407</v>
      </c>
      <c r="G103">
        <v>35</v>
      </c>
    </row>
    <row r="104" spans="1:7" x14ac:dyDescent="0.2">
      <c r="A104">
        <v>10005</v>
      </c>
      <c r="B104">
        <v>54480</v>
      </c>
      <c r="C104">
        <v>-82</v>
      </c>
      <c r="D104">
        <v>0.47</v>
      </c>
      <c r="E104" t="s">
        <v>8</v>
      </c>
      <c r="F104" s="19">
        <v>0.5348032407407407</v>
      </c>
      <c r="G104">
        <v>35</v>
      </c>
    </row>
    <row r="105" spans="1:7" x14ac:dyDescent="0.2">
      <c r="A105">
        <v>10004</v>
      </c>
      <c r="B105">
        <v>54480</v>
      </c>
      <c r="C105">
        <v>0</v>
      </c>
      <c r="D105">
        <v>-1</v>
      </c>
      <c r="F105" s="19">
        <v>0.53481481481481474</v>
      </c>
      <c r="G105">
        <v>36</v>
      </c>
    </row>
    <row r="106" spans="1:7" x14ac:dyDescent="0.2">
      <c r="A106">
        <v>10005</v>
      </c>
      <c r="B106">
        <v>54480</v>
      </c>
      <c r="C106">
        <v>0</v>
      </c>
      <c r="D106">
        <v>-1</v>
      </c>
      <c r="F106" s="19">
        <v>0.53481481481481474</v>
      </c>
      <c r="G106">
        <v>36</v>
      </c>
    </row>
    <row r="107" spans="1:7" x14ac:dyDescent="0.2">
      <c r="A107">
        <v>10006</v>
      </c>
      <c r="B107">
        <v>54480</v>
      </c>
      <c r="C107">
        <v>-75</v>
      </c>
      <c r="D107">
        <v>0.28000000000000003</v>
      </c>
      <c r="E107" t="s">
        <v>6</v>
      </c>
      <c r="F107" s="19">
        <v>0.53481481481481474</v>
      </c>
      <c r="G107">
        <v>36</v>
      </c>
    </row>
    <row r="108" spans="1:7" x14ac:dyDescent="0.2">
      <c r="A108">
        <v>10006</v>
      </c>
      <c r="B108">
        <v>54480</v>
      </c>
      <c r="C108">
        <v>0</v>
      </c>
      <c r="D108">
        <v>-1</v>
      </c>
      <c r="F108" s="19">
        <v>0.53482638888888889</v>
      </c>
      <c r="G108">
        <v>37</v>
      </c>
    </row>
    <row r="109" spans="1:7" x14ac:dyDescent="0.2">
      <c r="A109">
        <v>10004</v>
      </c>
      <c r="B109">
        <v>54480</v>
      </c>
      <c r="C109">
        <v>-44</v>
      </c>
      <c r="D109">
        <v>0</v>
      </c>
      <c r="E109" t="s">
        <v>6</v>
      </c>
      <c r="F109" s="19">
        <v>0.53482638888888889</v>
      </c>
      <c r="G109">
        <v>37</v>
      </c>
    </row>
    <row r="110" spans="1:7" x14ac:dyDescent="0.2">
      <c r="A110">
        <v>10005</v>
      </c>
      <c r="B110">
        <v>54480</v>
      </c>
      <c r="C110">
        <v>-83</v>
      </c>
      <c r="D110">
        <v>0.5</v>
      </c>
      <c r="E110" t="s">
        <v>8</v>
      </c>
      <c r="F110" s="19">
        <v>0.53482638888888889</v>
      </c>
      <c r="G110">
        <v>37</v>
      </c>
    </row>
    <row r="111" spans="1:7" x14ac:dyDescent="0.2">
      <c r="A111">
        <v>10004</v>
      </c>
      <c r="B111">
        <v>54480</v>
      </c>
      <c r="C111">
        <v>-43</v>
      </c>
      <c r="D111">
        <v>0</v>
      </c>
      <c r="E111" t="s">
        <v>6</v>
      </c>
      <c r="F111" s="19">
        <v>0.53483796296296293</v>
      </c>
      <c r="G111">
        <v>38</v>
      </c>
    </row>
    <row r="112" spans="1:7" x14ac:dyDescent="0.2">
      <c r="A112">
        <v>10006</v>
      </c>
      <c r="B112">
        <v>54480</v>
      </c>
      <c r="C112">
        <v>-74</v>
      </c>
      <c r="D112">
        <v>0.25</v>
      </c>
      <c r="E112" t="s">
        <v>6</v>
      </c>
      <c r="F112" s="19">
        <v>0.53483796296296293</v>
      </c>
      <c r="G112">
        <v>38</v>
      </c>
    </row>
    <row r="113" spans="1:7" x14ac:dyDescent="0.2">
      <c r="A113">
        <v>10005</v>
      </c>
      <c r="B113">
        <v>54480</v>
      </c>
      <c r="C113">
        <v>-83</v>
      </c>
      <c r="D113">
        <v>0.54</v>
      </c>
      <c r="E113" t="s">
        <v>8</v>
      </c>
      <c r="F113" s="19">
        <v>0.53483796296296293</v>
      </c>
      <c r="G113">
        <v>38</v>
      </c>
    </row>
    <row r="114" spans="1:7" x14ac:dyDescent="0.2">
      <c r="A114">
        <v>10004</v>
      </c>
      <c r="B114">
        <v>54480</v>
      </c>
      <c r="C114">
        <v>-43</v>
      </c>
      <c r="D114">
        <v>0</v>
      </c>
      <c r="E114" t="s">
        <v>6</v>
      </c>
      <c r="F114" s="19">
        <v>0.53484953703703708</v>
      </c>
      <c r="G114">
        <v>39</v>
      </c>
    </row>
    <row r="115" spans="1:7" x14ac:dyDescent="0.2">
      <c r="A115">
        <v>10006</v>
      </c>
      <c r="B115">
        <v>54480</v>
      </c>
      <c r="C115">
        <v>-74</v>
      </c>
      <c r="D115">
        <v>0.24</v>
      </c>
      <c r="E115" t="s">
        <v>6</v>
      </c>
      <c r="F115" s="19">
        <v>0.53484953703703708</v>
      </c>
      <c r="G115">
        <v>39</v>
      </c>
    </row>
    <row r="116" spans="1:7" x14ac:dyDescent="0.2">
      <c r="A116">
        <v>10005</v>
      </c>
      <c r="B116">
        <v>54480</v>
      </c>
      <c r="C116">
        <v>-82</v>
      </c>
      <c r="D116">
        <v>0.55000000000000004</v>
      </c>
      <c r="E116" t="s">
        <v>8</v>
      </c>
      <c r="F116" s="19">
        <v>0.53484953703703708</v>
      </c>
      <c r="G116">
        <v>39</v>
      </c>
    </row>
    <row r="117" spans="1:7" x14ac:dyDescent="0.2">
      <c r="A117">
        <v>10004</v>
      </c>
      <c r="B117">
        <v>54480</v>
      </c>
      <c r="C117">
        <v>-43</v>
      </c>
      <c r="D117">
        <v>0</v>
      </c>
      <c r="E117" t="s">
        <v>6</v>
      </c>
      <c r="F117" s="19">
        <v>0.53486111111111112</v>
      </c>
      <c r="G117">
        <v>40</v>
      </c>
    </row>
    <row r="118" spans="1:7" x14ac:dyDescent="0.2">
      <c r="A118">
        <v>10006</v>
      </c>
      <c r="B118">
        <v>54480</v>
      </c>
      <c r="C118">
        <v>-75</v>
      </c>
      <c r="D118">
        <v>0.24</v>
      </c>
      <c r="E118" t="s">
        <v>8</v>
      </c>
      <c r="F118" s="19">
        <v>0.53486111111111112</v>
      </c>
      <c r="G118">
        <v>40</v>
      </c>
    </row>
    <row r="119" spans="1:7" x14ac:dyDescent="0.2">
      <c r="A119">
        <v>10005</v>
      </c>
      <c r="B119">
        <v>54480</v>
      </c>
      <c r="C119">
        <v>-82</v>
      </c>
      <c r="D119">
        <v>0.56000000000000005</v>
      </c>
      <c r="E119" t="s">
        <v>8</v>
      </c>
      <c r="F119" s="19">
        <v>0.53486111111111112</v>
      </c>
      <c r="G119">
        <v>40</v>
      </c>
    </row>
    <row r="120" spans="1:7" x14ac:dyDescent="0.2">
      <c r="A120">
        <v>10004</v>
      </c>
      <c r="B120">
        <v>54480</v>
      </c>
      <c r="C120">
        <v>-43</v>
      </c>
      <c r="D120">
        <v>0</v>
      </c>
      <c r="E120" t="s">
        <v>6</v>
      </c>
      <c r="F120" s="19">
        <v>0.53487268518518516</v>
      </c>
      <c r="G120">
        <v>41</v>
      </c>
    </row>
    <row r="121" spans="1:7" x14ac:dyDescent="0.2">
      <c r="A121">
        <v>10006</v>
      </c>
      <c r="B121">
        <v>54480</v>
      </c>
      <c r="C121">
        <v>-75</v>
      </c>
      <c r="D121">
        <v>0.24</v>
      </c>
      <c r="E121" t="s">
        <v>8</v>
      </c>
      <c r="F121" s="19">
        <v>0.53487268518518516</v>
      </c>
      <c r="G121">
        <v>41</v>
      </c>
    </row>
    <row r="122" spans="1:7" x14ac:dyDescent="0.2">
      <c r="A122">
        <v>10005</v>
      </c>
      <c r="B122">
        <v>54480</v>
      </c>
      <c r="C122">
        <v>-81</v>
      </c>
      <c r="D122">
        <v>0.55000000000000004</v>
      </c>
      <c r="E122" t="s">
        <v>8</v>
      </c>
      <c r="F122" s="19">
        <v>0.53487268518518516</v>
      </c>
      <c r="G122">
        <v>41</v>
      </c>
    </row>
    <row r="123" spans="1:7" x14ac:dyDescent="0.2">
      <c r="A123">
        <v>10004</v>
      </c>
      <c r="B123">
        <v>54480</v>
      </c>
      <c r="C123">
        <v>-44</v>
      </c>
      <c r="D123">
        <v>0</v>
      </c>
      <c r="E123" t="s">
        <v>6</v>
      </c>
      <c r="F123" s="19">
        <v>0.5348842592592592</v>
      </c>
      <c r="G123">
        <v>42</v>
      </c>
    </row>
    <row r="124" spans="1:7" x14ac:dyDescent="0.2">
      <c r="A124">
        <v>10006</v>
      </c>
      <c r="B124">
        <v>54480</v>
      </c>
      <c r="C124">
        <v>-77</v>
      </c>
      <c r="D124">
        <v>0.26</v>
      </c>
      <c r="E124" t="s">
        <v>8</v>
      </c>
      <c r="F124" s="19">
        <v>0.5348842592592592</v>
      </c>
      <c r="G124">
        <v>42</v>
      </c>
    </row>
    <row r="125" spans="1:7" x14ac:dyDescent="0.2">
      <c r="A125">
        <v>10005</v>
      </c>
      <c r="B125">
        <v>54480</v>
      </c>
      <c r="C125">
        <v>-82</v>
      </c>
      <c r="D125">
        <v>0.56000000000000005</v>
      </c>
      <c r="E125" t="s">
        <v>8</v>
      </c>
      <c r="F125" s="19">
        <v>0.5348842592592592</v>
      </c>
      <c r="G125">
        <v>42</v>
      </c>
    </row>
    <row r="126" spans="1:7" x14ac:dyDescent="0.2">
      <c r="A126">
        <v>10004</v>
      </c>
      <c r="B126">
        <v>54480</v>
      </c>
      <c r="C126">
        <v>-43</v>
      </c>
      <c r="D126">
        <v>0</v>
      </c>
      <c r="E126" t="s">
        <v>6</v>
      </c>
      <c r="F126" s="19">
        <v>0.53489583333333335</v>
      </c>
      <c r="G126">
        <v>43</v>
      </c>
    </row>
    <row r="127" spans="1:7" x14ac:dyDescent="0.2">
      <c r="A127">
        <v>10006</v>
      </c>
      <c r="B127">
        <v>54480</v>
      </c>
      <c r="C127">
        <v>-77</v>
      </c>
      <c r="D127">
        <v>0.27</v>
      </c>
      <c r="E127" t="s">
        <v>8</v>
      </c>
      <c r="F127" s="19">
        <v>0.53489583333333335</v>
      </c>
      <c r="G127">
        <v>43</v>
      </c>
    </row>
    <row r="128" spans="1:7" x14ac:dyDescent="0.2">
      <c r="A128">
        <v>10005</v>
      </c>
      <c r="B128">
        <v>54480</v>
      </c>
      <c r="C128">
        <v>-84</v>
      </c>
      <c r="D128">
        <v>0.59</v>
      </c>
      <c r="E128" t="s">
        <v>8</v>
      </c>
      <c r="F128" s="19">
        <v>0.53489583333333335</v>
      </c>
      <c r="G128">
        <v>43</v>
      </c>
    </row>
    <row r="129" spans="1:7" x14ac:dyDescent="0.2">
      <c r="A129">
        <v>10004</v>
      </c>
      <c r="B129">
        <v>54480</v>
      </c>
      <c r="C129">
        <v>-43</v>
      </c>
      <c r="D129">
        <v>0</v>
      </c>
      <c r="E129" t="s">
        <v>6</v>
      </c>
      <c r="F129" s="19">
        <v>0.53490740740740739</v>
      </c>
      <c r="G129">
        <v>44</v>
      </c>
    </row>
    <row r="130" spans="1:7" x14ac:dyDescent="0.2">
      <c r="A130">
        <v>10006</v>
      </c>
      <c r="B130">
        <v>54480</v>
      </c>
      <c r="C130">
        <v>-73</v>
      </c>
      <c r="D130">
        <v>0.25</v>
      </c>
      <c r="E130" t="s">
        <v>8</v>
      </c>
      <c r="F130" s="19">
        <v>0.53490740740740739</v>
      </c>
      <c r="G130">
        <v>44</v>
      </c>
    </row>
    <row r="131" spans="1:7" x14ac:dyDescent="0.2">
      <c r="A131">
        <v>10005</v>
      </c>
      <c r="B131">
        <v>54480</v>
      </c>
      <c r="C131">
        <v>-78</v>
      </c>
      <c r="D131">
        <v>0.53</v>
      </c>
      <c r="E131" t="s">
        <v>8</v>
      </c>
      <c r="F131" s="19">
        <v>0.53490740740740739</v>
      </c>
      <c r="G131">
        <v>44</v>
      </c>
    </row>
    <row r="132" spans="1:7" x14ac:dyDescent="0.2">
      <c r="A132">
        <v>10004</v>
      </c>
      <c r="B132">
        <v>54480</v>
      </c>
      <c r="C132">
        <v>0</v>
      </c>
      <c r="D132">
        <v>-1</v>
      </c>
      <c r="F132" s="19">
        <v>0.53491898148148154</v>
      </c>
      <c r="G132">
        <v>45</v>
      </c>
    </row>
    <row r="133" spans="1:7" x14ac:dyDescent="0.2">
      <c r="A133">
        <v>10006</v>
      </c>
      <c r="B133">
        <v>54480</v>
      </c>
      <c r="C133">
        <v>-73</v>
      </c>
      <c r="D133">
        <v>0.23</v>
      </c>
      <c r="E133" t="s">
        <v>8</v>
      </c>
      <c r="F133" s="19">
        <v>0.53491898148148154</v>
      </c>
      <c r="G133">
        <v>45</v>
      </c>
    </row>
    <row r="134" spans="1:7" x14ac:dyDescent="0.2">
      <c r="A134">
        <v>10005</v>
      </c>
      <c r="B134">
        <v>54480</v>
      </c>
      <c r="C134">
        <v>-78</v>
      </c>
      <c r="D134">
        <v>0.49</v>
      </c>
      <c r="E134" t="s">
        <v>8</v>
      </c>
      <c r="F134" s="19">
        <v>0.53491898148148154</v>
      </c>
      <c r="G134">
        <v>45</v>
      </c>
    </row>
    <row r="135" spans="1:7" x14ac:dyDescent="0.2">
      <c r="A135">
        <v>10004</v>
      </c>
      <c r="B135">
        <v>54480</v>
      </c>
      <c r="C135">
        <v>0</v>
      </c>
      <c r="D135">
        <v>-1</v>
      </c>
      <c r="F135" s="19">
        <v>0.53493055555555558</v>
      </c>
      <c r="G135">
        <v>46</v>
      </c>
    </row>
    <row r="136" spans="1:7" x14ac:dyDescent="0.2">
      <c r="A136">
        <v>10006</v>
      </c>
      <c r="B136">
        <v>54480</v>
      </c>
      <c r="C136">
        <v>-79</v>
      </c>
      <c r="D136">
        <v>0.26</v>
      </c>
      <c r="E136" t="s">
        <v>8</v>
      </c>
      <c r="F136" s="19">
        <v>0.53493055555555558</v>
      </c>
      <c r="G136">
        <v>46</v>
      </c>
    </row>
    <row r="137" spans="1:7" x14ac:dyDescent="0.2">
      <c r="A137">
        <v>10005</v>
      </c>
      <c r="B137">
        <v>54480</v>
      </c>
      <c r="C137">
        <v>-77</v>
      </c>
      <c r="D137">
        <v>0.45</v>
      </c>
      <c r="E137" t="s">
        <v>8</v>
      </c>
      <c r="F137" s="19">
        <v>0.53493055555555558</v>
      </c>
      <c r="G137">
        <v>46</v>
      </c>
    </row>
    <row r="138" spans="1:7" x14ac:dyDescent="0.2">
      <c r="A138">
        <v>10004</v>
      </c>
      <c r="B138">
        <v>54480</v>
      </c>
      <c r="C138">
        <v>-44</v>
      </c>
      <c r="D138">
        <v>0</v>
      </c>
      <c r="E138" t="s">
        <v>6</v>
      </c>
      <c r="F138" s="19">
        <v>0.53494212962962961</v>
      </c>
      <c r="G138">
        <v>47</v>
      </c>
    </row>
    <row r="139" spans="1:7" x14ac:dyDescent="0.2">
      <c r="A139">
        <v>10006</v>
      </c>
      <c r="B139">
        <v>54480</v>
      </c>
      <c r="C139">
        <v>-79</v>
      </c>
      <c r="D139">
        <v>0.28000000000000003</v>
      </c>
      <c r="E139" t="s">
        <v>8</v>
      </c>
      <c r="F139" s="19">
        <v>0.53494212962962961</v>
      </c>
      <c r="G139">
        <v>47</v>
      </c>
    </row>
    <row r="140" spans="1:7" x14ac:dyDescent="0.2">
      <c r="A140">
        <v>10005</v>
      </c>
      <c r="B140">
        <v>54480</v>
      </c>
      <c r="C140">
        <v>-78</v>
      </c>
      <c r="D140">
        <v>0.43</v>
      </c>
      <c r="E140" t="s">
        <v>8</v>
      </c>
      <c r="F140" s="19">
        <v>0.53494212962962961</v>
      </c>
      <c r="G140">
        <v>47</v>
      </c>
    </row>
    <row r="141" spans="1:7" x14ac:dyDescent="0.2">
      <c r="A141">
        <v>10004</v>
      </c>
      <c r="B141">
        <v>54480</v>
      </c>
      <c r="C141">
        <v>-43</v>
      </c>
      <c r="D141">
        <v>0</v>
      </c>
      <c r="E141" t="s">
        <v>6</v>
      </c>
      <c r="F141" s="19">
        <v>0.53495370370370365</v>
      </c>
      <c r="G141">
        <v>48</v>
      </c>
    </row>
    <row r="142" spans="1:7" x14ac:dyDescent="0.2">
      <c r="A142">
        <v>10006</v>
      </c>
      <c r="B142">
        <v>54480</v>
      </c>
      <c r="C142">
        <v>-75</v>
      </c>
      <c r="D142">
        <v>0.27</v>
      </c>
      <c r="E142" t="s">
        <v>8</v>
      </c>
      <c r="F142" s="19">
        <v>0.53495370370370365</v>
      </c>
      <c r="G142">
        <v>48</v>
      </c>
    </row>
    <row r="143" spans="1:7" x14ac:dyDescent="0.2">
      <c r="A143">
        <v>10005</v>
      </c>
      <c r="B143">
        <v>54480</v>
      </c>
      <c r="C143">
        <v>-79</v>
      </c>
      <c r="D143">
        <v>0.43</v>
      </c>
      <c r="E143" t="s">
        <v>8</v>
      </c>
      <c r="F143" s="19">
        <v>0.53495370370370365</v>
      </c>
      <c r="G143">
        <v>48</v>
      </c>
    </row>
    <row r="144" spans="1:7" x14ac:dyDescent="0.2">
      <c r="A144">
        <v>10004</v>
      </c>
      <c r="B144">
        <v>54480</v>
      </c>
      <c r="C144">
        <v>-43</v>
      </c>
      <c r="D144">
        <v>0</v>
      </c>
      <c r="E144" t="s">
        <v>6</v>
      </c>
      <c r="F144" s="19">
        <v>0.5349652777777778</v>
      </c>
      <c r="G144">
        <v>49</v>
      </c>
    </row>
    <row r="145" spans="1:7" x14ac:dyDescent="0.2">
      <c r="A145">
        <v>10006</v>
      </c>
      <c r="B145">
        <v>54480</v>
      </c>
      <c r="C145">
        <v>-75</v>
      </c>
      <c r="D145">
        <v>0.27</v>
      </c>
      <c r="E145" t="s">
        <v>6</v>
      </c>
      <c r="F145" s="19">
        <v>0.5349652777777778</v>
      </c>
      <c r="G145">
        <v>49</v>
      </c>
    </row>
    <row r="146" spans="1:7" x14ac:dyDescent="0.2">
      <c r="A146">
        <v>10005</v>
      </c>
      <c r="B146">
        <v>54480</v>
      </c>
      <c r="C146">
        <v>-79</v>
      </c>
      <c r="D146">
        <v>0.42</v>
      </c>
      <c r="E146" t="s">
        <v>8</v>
      </c>
      <c r="F146" s="19">
        <v>0.5349652777777778</v>
      </c>
      <c r="G146">
        <v>49</v>
      </c>
    </row>
    <row r="147" spans="1:7" x14ac:dyDescent="0.2">
      <c r="A147">
        <v>10004</v>
      </c>
      <c r="B147">
        <v>54480</v>
      </c>
      <c r="C147">
        <v>-43</v>
      </c>
      <c r="D147">
        <v>0</v>
      </c>
      <c r="E147" t="s">
        <v>6</v>
      </c>
      <c r="F147" s="19">
        <v>0.53497685185185184</v>
      </c>
      <c r="G147">
        <v>50</v>
      </c>
    </row>
    <row r="148" spans="1:7" x14ac:dyDescent="0.2">
      <c r="A148">
        <v>10006</v>
      </c>
      <c r="B148">
        <v>54480</v>
      </c>
      <c r="C148">
        <v>-79</v>
      </c>
      <c r="D148">
        <v>0.28999999999999998</v>
      </c>
      <c r="E148" t="s">
        <v>6</v>
      </c>
      <c r="F148" s="19">
        <v>0.53497685185185184</v>
      </c>
      <c r="G148">
        <v>50</v>
      </c>
    </row>
    <row r="149" spans="1:7" x14ac:dyDescent="0.2">
      <c r="A149">
        <v>10005</v>
      </c>
      <c r="B149">
        <v>54480</v>
      </c>
      <c r="C149">
        <v>-79</v>
      </c>
      <c r="D149">
        <v>0.42</v>
      </c>
      <c r="E149" t="s">
        <v>8</v>
      </c>
      <c r="F149" s="19">
        <v>0.53497685185185184</v>
      </c>
      <c r="G149">
        <v>50</v>
      </c>
    </row>
    <row r="150" spans="1:7" x14ac:dyDescent="0.2">
      <c r="A150">
        <v>10004</v>
      </c>
      <c r="B150">
        <v>54480</v>
      </c>
      <c r="C150">
        <v>-43</v>
      </c>
      <c r="D150">
        <v>0</v>
      </c>
      <c r="E150" t="s">
        <v>6</v>
      </c>
      <c r="F150" s="19">
        <v>0.53498842592592599</v>
      </c>
      <c r="G150">
        <v>51</v>
      </c>
    </row>
    <row r="151" spans="1:7" x14ac:dyDescent="0.2">
      <c r="A151">
        <v>10006</v>
      </c>
      <c r="B151">
        <v>54480</v>
      </c>
      <c r="C151">
        <v>-79</v>
      </c>
      <c r="D151">
        <v>0.31</v>
      </c>
      <c r="E151" t="s">
        <v>8</v>
      </c>
      <c r="F151" s="19">
        <v>0.53498842592592599</v>
      </c>
      <c r="G151">
        <v>51</v>
      </c>
    </row>
    <row r="152" spans="1:7" x14ac:dyDescent="0.2">
      <c r="A152">
        <v>10005</v>
      </c>
      <c r="B152">
        <v>54480</v>
      </c>
      <c r="C152">
        <v>-79</v>
      </c>
      <c r="D152">
        <v>0.42</v>
      </c>
      <c r="E152" t="s">
        <v>8</v>
      </c>
      <c r="F152" s="19">
        <v>0.53498842592592599</v>
      </c>
      <c r="G152">
        <v>51</v>
      </c>
    </row>
    <row r="153" spans="1:7" x14ac:dyDescent="0.2">
      <c r="A153">
        <v>10004</v>
      </c>
      <c r="B153">
        <v>54480</v>
      </c>
      <c r="C153">
        <v>-43</v>
      </c>
      <c r="D153">
        <v>0</v>
      </c>
      <c r="E153" t="s">
        <v>6</v>
      </c>
      <c r="F153" s="19">
        <v>0.53500000000000003</v>
      </c>
      <c r="G153">
        <v>52</v>
      </c>
    </row>
    <row r="154" spans="1:7" x14ac:dyDescent="0.2">
      <c r="A154">
        <v>10006</v>
      </c>
      <c r="B154">
        <v>54480</v>
      </c>
      <c r="C154">
        <v>-79</v>
      </c>
      <c r="D154">
        <v>0.33</v>
      </c>
      <c r="E154" t="s">
        <v>8</v>
      </c>
      <c r="F154" s="19">
        <v>0.53500000000000003</v>
      </c>
      <c r="G154">
        <v>52</v>
      </c>
    </row>
    <row r="155" spans="1:7" x14ac:dyDescent="0.2">
      <c r="A155">
        <v>10005</v>
      </c>
      <c r="B155">
        <v>54480</v>
      </c>
      <c r="C155">
        <v>-79</v>
      </c>
      <c r="D155">
        <v>0.42</v>
      </c>
      <c r="E155" t="s">
        <v>8</v>
      </c>
      <c r="F155" s="19">
        <v>0.53500000000000003</v>
      </c>
      <c r="G155">
        <v>52</v>
      </c>
    </row>
    <row r="156" spans="1:7" x14ac:dyDescent="0.2">
      <c r="A156">
        <v>10006</v>
      </c>
      <c r="B156">
        <v>54480</v>
      </c>
      <c r="C156">
        <v>0</v>
      </c>
      <c r="D156">
        <v>-1</v>
      </c>
      <c r="F156" s="19">
        <v>0.53501157407407407</v>
      </c>
      <c r="G156">
        <v>53</v>
      </c>
    </row>
    <row r="157" spans="1:7" x14ac:dyDescent="0.2">
      <c r="A157">
        <v>10004</v>
      </c>
      <c r="B157">
        <v>54480</v>
      </c>
      <c r="C157">
        <v>-43</v>
      </c>
      <c r="D157">
        <v>0</v>
      </c>
      <c r="E157" t="s">
        <v>6</v>
      </c>
      <c r="F157" s="19">
        <v>0.53501157407407407</v>
      </c>
      <c r="G157">
        <v>53</v>
      </c>
    </row>
    <row r="158" spans="1:7" x14ac:dyDescent="0.2">
      <c r="A158">
        <v>10005</v>
      </c>
      <c r="B158">
        <v>54480</v>
      </c>
      <c r="C158">
        <v>-81</v>
      </c>
      <c r="D158">
        <v>0.43</v>
      </c>
      <c r="E158" t="s">
        <v>8</v>
      </c>
      <c r="F158" s="19">
        <v>0.53501157407407407</v>
      </c>
      <c r="G158">
        <v>53</v>
      </c>
    </row>
    <row r="159" spans="1:7" x14ac:dyDescent="0.2">
      <c r="A159">
        <v>10004</v>
      </c>
      <c r="B159">
        <v>54480</v>
      </c>
      <c r="C159">
        <v>-43</v>
      </c>
      <c r="D159">
        <v>0</v>
      </c>
      <c r="E159" t="s">
        <v>6</v>
      </c>
      <c r="F159" s="19">
        <v>0.53502314814814811</v>
      </c>
      <c r="G159">
        <v>54</v>
      </c>
    </row>
    <row r="160" spans="1:7" x14ac:dyDescent="0.2">
      <c r="A160">
        <v>10006</v>
      </c>
      <c r="B160">
        <v>54480</v>
      </c>
      <c r="C160">
        <v>-79</v>
      </c>
      <c r="D160">
        <v>0.34</v>
      </c>
      <c r="E160" t="s">
        <v>8</v>
      </c>
      <c r="F160" s="19">
        <v>0.53502314814814811</v>
      </c>
      <c r="G160">
        <v>54</v>
      </c>
    </row>
    <row r="161" spans="1:7" x14ac:dyDescent="0.2">
      <c r="A161">
        <v>10005</v>
      </c>
      <c r="B161">
        <v>54480</v>
      </c>
      <c r="C161">
        <v>-79</v>
      </c>
      <c r="D161">
        <v>0.43</v>
      </c>
      <c r="E161" t="s">
        <v>8</v>
      </c>
      <c r="F161" s="19">
        <v>0.53502314814814811</v>
      </c>
      <c r="G161">
        <v>54</v>
      </c>
    </row>
    <row r="162" spans="1:7" x14ac:dyDescent="0.2">
      <c r="A162">
        <v>10005</v>
      </c>
      <c r="B162">
        <v>54480</v>
      </c>
      <c r="C162">
        <v>0</v>
      </c>
      <c r="D162">
        <v>-1</v>
      </c>
      <c r="F162" s="19">
        <v>0.53503472222222226</v>
      </c>
      <c r="G162">
        <v>55</v>
      </c>
    </row>
    <row r="163" spans="1:7" x14ac:dyDescent="0.2">
      <c r="A163">
        <v>10004</v>
      </c>
      <c r="B163">
        <v>54480</v>
      </c>
      <c r="C163">
        <v>-44</v>
      </c>
      <c r="D163">
        <v>0</v>
      </c>
      <c r="E163" t="s">
        <v>6</v>
      </c>
      <c r="F163" s="19">
        <v>0.53503472222222226</v>
      </c>
      <c r="G163">
        <v>55</v>
      </c>
    </row>
    <row r="164" spans="1:7" x14ac:dyDescent="0.2">
      <c r="A164">
        <v>10006</v>
      </c>
      <c r="B164">
        <v>54480</v>
      </c>
      <c r="C164">
        <v>-75</v>
      </c>
      <c r="D164">
        <v>0.31</v>
      </c>
      <c r="E164" t="s">
        <v>6</v>
      </c>
      <c r="F164" s="19">
        <v>0.53503472222222226</v>
      </c>
      <c r="G164">
        <v>55</v>
      </c>
    </row>
    <row r="165" spans="1:7" x14ac:dyDescent="0.2">
      <c r="A165">
        <v>10004</v>
      </c>
      <c r="B165">
        <v>54480</v>
      </c>
      <c r="C165">
        <v>-43</v>
      </c>
      <c r="D165">
        <v>0</v>
      </c>
      <c r="E165" t="s">
        <v>6</v>
      </c>
      <c r="F165" s="19">
        <v>0.5350462962962963</v>
      </c>
      <c r="G165">
        <v>56</v>
      </c>
    </row>
    <row r="166" spans="1:7" x14ac:dyDescent="0.2">
      <c r="A166">
        <v>10006</v>
      </c>
      <c r="B166">
        <v>54480</v>
      </c>
      <c r="C166">
        <v>-79</v>
      </c>
      <c r="D166">
        <v>0.33</v>
      </c>
      <c r="E166" t="s">
        <v>6</v>
      </c>
      <c r="F166" s="19">
        <v>0.5350462962962963</v>
      </c>
      <c r="G166">
        <v>56</v>
      </c>
    </row>
    <row r="167" spans="1:7" x14ac:dyDescent="0.2">
      <c r="A167">
        <v>10005</v>
      </c>
      <c r="B167">
        <v>54480</v>
      </c>
      <c r="C167">
        <v>-79</v>
      </c>
      <c r="D167">
        <v>0.42</v>
      </c>
      <c r="E167" t="s">
        <v>8</v>
      </c>
      <c r="F167" s="19">
        <v>0.5350462962962963</v>
      </c>
      <c r="G167">
        <v>56</v>
      </c>
    </row>
    <row r="168" spans="1:7" x14ac:dyDescent="0.2">
      <c r="A168">
        <v>10004</v>
      </c>
      <c r="B168">
        <v>54480</v>
      </c>
      <c r="C168">
        <v>-43</v>
      </c>
      <c r="D168">
        <v>0</v>
      </c>
      <c r="E168" t="s">
        <v>6</v>
      </c>
      <c r="F168" s="19">
        <v>0.53505787037037034</v>
      </c>
      <c r="G168">
        <v>57</v>
      </c>
    </row>
    <row r="169" spans="1:7" x14ac:dyDescent="0.2">
      <c r="A169">
        <v>10006</v>
      </c>
      <c r="B169">
        <v>54480</v>
      </c>
      <c r="C169">
        <v>-75</v>
      </c>
      <c r="D169">
        <v>0.3</v>
      </c>
      <c r="E169" t="s">
        <v>6</v>
      </c>
      <c r="F169" s="19">
        <v>0.53505787037037034</v>
      </c>
      <c r="G169">
        <v>57</v>
      </c>
    </row>
    <row r="170" spans="1:7" x14ac:dyDescent="0.2">
      <c r="A170">
        <v>10005</v>
      </c>
      <c r="B170">
        <v>54480</v>
      </c>
      <c r="C170">
        <v>-82</v>
      </c>
      <c r="D170">
        <v>0.46</v>
      </c>
      <c r="E170" t="s">
        <v>8</v>
      </c>
      <c r="F170" s="19">
        <v>0.53505787037037034</v>
      </c>
      <c r="G170">
        <v>57</v>
      </c>
    </row>
    <row r="171" spans="1:7" x14ac:dyDescent="0.2">
      <c r="A171">
        <v>10004</v>
      </c>
      <c r="B171">
        <v>54480</v>
      </c>
      <c r="C171">
        <v>0</v>
      </c>
      <c r="D171">
        <v>-1</v>
      </c>
      <c r="F171" s="19">
        <v>0.53506944444444449</v>
      </c>
      <c r="G171">
        <v>58</v>
      </c>
    </row>
    <row r="172" spans="1:7" x14ac:dyDescent="0.2">
      <c r="A172">
        <v>10006</v>
      </c>
      <c r="B172">
        <v>54480</v>
      </c>
      <c r="C172">
        <v>-78</v>
      </c>
      <c r="D172">
        <v>0.31</v>
      </c>
      <c r="E172" t="s">
        <v>6</v>
      </c>
      <c r="F172" s="19">
        <v>0.53506944444444449</v>
      </c>
      <c r="G172">
        <v>58</v>
      </c>
    </row>
    <row r="173" spans="1:7" x14ac:dyDescent="0.2">
      <c r="A173">
        <v>10005</v>
      </c>
      <c r="B173">
        <v>54480</v>
      </c>
      <c r="C173">
        <v>-79</v>
      </c>
      <c r="D173">
        <v>0.45</v>
      </c>
      <c r="E173" t="s">
        <v>8</v>
      </c>
      <c r="F173" s="19">
        <v>0.53506944444444449</v>
      </c>
      <c r="G173">
        <v>58</v>
      </c>
    </row>
    <row r="174" spans="1:7" x14ac:dyDescent="0.2">
      <c r="A174">
        <v>10004</v>
      </c>
      <c r="B174">
        <v>54480</v>
      </c>
      <c r="C174">
        <v>0</v>
      </c>
      <c r="D174">
        <v>-1</v>
      </c>
      <c r="F174" s="19">
        <v>0.53508101851851853</v>
      </c>
      <c r="G174">
        <v>59</v>
      </c>
    </row>
    <row r="175" spans="1:7" x14ac:dyDescent="0.2">
      <c r="A175">
        <v>10005</v>
      </c>
      <c r="B175">
        <v>54480</v>
      </c>
      <c r="C175">
        <v>0</v>
      </c>
      <c r="D175">
        <v>-1</v>
      </c>
      <c r="F175" s="19">
        <v>0.53508101851851853</v>
      </c>
      <c r="G175">
        <v>59</v>
      </c>
    </row>
    <row r="176" spans="1:7" x14ac:dyDescent="0.2">
      <c r="A176">
        <v>10006</v>
      </c>
      <c r="B176">
        <v>54480</v>
      </c>
      <c r="C176">
        <v>-75</v>
      </c>
      <c r="D176">
        <v>0.3</v>
      </c>
      <c r="E176" t="s">
        <v>6</v>
      </c>
      <c r="F176" s="19">
        <v>0.53508101851851853</v>
      </c>
      <c r="G176">
        <v>59</v>
      </c>
    </row>
    <row r="177" spans="1:7" x14ac:dyDescent="0.2">
      <c r="A177">
        <v>10005</v>
      </c>
      <c r="B177">
        <v>54480</v>
      </c>
      <c r="C177">
        <v>0</v>
      </c>
      <c r="D177">
        <v>-1</v>
      </c>
      <c r="F177" s="19">
        <v>0.53509259259259256</v>
      </c>
      <c r="G177">
        <v>60</v>
      </c>
    </row>
    <row r="178" spans="1:7" x14ac:dyDescent="0.2">
      <c r="A178">
        <v>10004</v>
      </c>
      <c r="B178">
        <v>54480</v>
      </c>
      <c r="C178">
        <v>-43</v>
      </c>
      <c r="D178">
        <v>0</v>
      </c>
      <c r="E178" t="s">
        <v>6</v>
      </c>
      <c r="F178" s="19">
        <v>0.53509259259259256</v>
      </c>
      <c r="G178">
        <v>60</v>
      </c>
    </row>
    <row r="179" spans="1:7" x14ac:dyDescent="0.2">
      <c r="A179">
        <v>10006</v>
      </c>
      <c r="B179">
        <v>54480</v>
      </c>
      <c r="C179">
        <v>-79</v>
      </c>
      <c r="D179">
        <v>0.31</v>
      </c>
      <c r="E179" t="s">
        <v>6</v>
      </c>
      <c r="F179" s="19">
        <v>0.53509259259259256</v>
      </c>
      <c r="G179">
        <v>60</v>
      </c>
    </row>
  </sheetData>
  <autoFilter ref="A1:F179" xr:uid="{00000000-0009-0000-0000-000000000000}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61"/>
  <sheetViews>
    <sheetView zoomScale="110" workbookViewId="0">
      <selection activeCell="F3" sqref="F3"/>
    </sheetView>
  </sheetViews>
  <sheetFormatPr baseColWidth="10" defaultRowHeight="16" x14ac:dyDescent="0.2"/>
  <sheetData>
    <row r="1" spans="1:6" x14ac:dyDescent="0.2">
      <c r="A1" t="s">
        <v>317</v>
      </c>
      <c r="B1">
        <v>10004</v>
      </c>
      <c r="C1">
        <v>10005</v>
      </c>
      <c r="D1">
        <v>10006</v>
      </c>
      <c r="E1" t="s">
        <v>318</v>
      </c>
      <c r="F1" t="s">
        <v>319</v>
      </c>
    </row>
    <row r="2" spans="1:6" x14ac:dyDescent="0.2">
      <c r="A2">
        <v>1</v>
      </c>
      <c r="B2">
        <v>-44</v>
      </c>
    </row>
    <row r="3" spans="1:6" x14ac:dyDescent="0.2">
      <c r="A3">
        <v>2</v>
      </c>
      <c r="B3">
        <v>-43</v>
      </c>
      <c r="C3">
        <v>-87</v>
      </c>
      <c r="D3">
        <v>-78</v>
      </c>
      <c r="E3">
        <v>-87</v>
      </c>
      <c r="F3">
        <v>44</v>
      </c>
    </row>
    <row r="4" spans="1:6" x14ac:dyDescent="0.2">
      <c r="A4">
        <v>3</v>
      </c>
      <c r="B4">
        <v>-43</v>
      </c>
      <c r="C4">
        <v>-79</v>
      </c>
      <c r="D4">
        <v>-74</v>
      </c>
      <c r="E4">
        <v>-79</v>
      </c>
      <c r="F4">
        <v>36</v>
      </c>
    </row>
    <row r="5" spans="1:6" x14ac:dyDescent="0.2">
      <c r="A5">
        <v>4</v>
      </c>
      <c r="B5">
        <v>-43</v>
      </c>
      <c r="C5">
        <v>-79</v>
      </c>
      <c r="D5">
        <v>-74</v>
      </c>
      <c r="E5">
        <v>-79</v>
      </c>
      <c r="F5">
        <v>36</v>
      </c>
    </row>
    <row r="6" spans="1:6" x14ac:dyDescent="0.2">
      <c r="A6">
        <v>5</v>
      </c>
      <c r="C6">
        <v>-78</v>
      </c>
      <c r="D6">
        <v>-77</v>
      </c>
      <c r="E6">
        <v>-78</v>
      </c>
      <c r="F6">
        <v>78</v>
      </c>
    </row>
    <row r="7" spans="1:6" x14ac:dyDescent="0.2">
      <c r="A7">
        <v>6</v>
      </c>
      <c r="B7">
        <v>-43</v>
      </c>
      <c r="C7">
        <v>-78</v>
      </c>
      <c r="D7">
        <v>-75</v>
      </c>
      <c r="E7">
        <v>-78</v>
      </c>
      <c r="F7">
        <v>35</v>
      </c>
    </row>
    <row r="8" spans="1:6" x14ac:dyDescent="0.2">
      <c r="A8">
        <v>7</v>
      </c>
      <c r="B8">
        <v>-44</v>
      </c>
      <c r="C8">
        <v>-83</v>
      </c>
      <c r="E8">
        <v>-83</v>
      </c>
      <c r="F8">
        <v>39</v>
      </c>
    </row>
    <row r="9" spans="1:6" x14ac:dyDescent="0.2">
      <c r="A9">
        <v>8</v>
      </c>
      <c r="D9">
        <v>-74</v>
      </c>
      <c r="E9">
        <v>-74</v>
      </c>
      <c r="F9">
        <v>74</v>
      </c>
    </row>
    <row r="10" spans="1:6" x14ac:dyDescent="0.2">
      <c r="A10">
        <v>9</v>
      </c>
      <c r="B10">
        <v>-43</v>
      </c>
      <c r="C10">
        <v>-80</v>
      </c>
      <c r="E10">
        <v>-80</v>
      </c>
      <c r="F10">
        <v>37</v>
      </c>
    </row>
    <row r="11" spans="1:6" x14ac:dyDescent="0.2">
      <c r="A11">
        <v>10</v>
      </c>
      <c r="B11">
        <v>-44</v>
      </c>
      <c r="C11">
        <v>-78</v>
      </c>
      <c r="D11">
        <v>-74</v>
      </c>
      <c r="E11">
        <v>-78</v>
      </c>
      <c r="F11">
        <v>34</v>
      </c>
    </row>
    <row r="12" spans="1:6" x14ac:dyDescent="0.2">
      <c r="A12">
        <v>11</v>
      </c>
      <c r="B12">
        <v>-43</v>
      </c>
      <c r="C12">
        <v>-82</v>
      </c>
      <c r="D12">
        <v>-78</v>
      </c>
      <c r="E12">
        <v>-82</v>
      </c>
      <c r="F12">
        <v>39</v>
      </c>
    </row>
    <row r="13" spans="1:6" x14ac:dyDescent="0.2">
      <c r="A13">
        <v>12</v>
      </c>
      <c r="B13">
        <v>-43</v>
      </c>
      <c r="D13">
        <v>-80</v>
      </c>
      <c r="E13">
        <v>-80</v>
      </c>
      <c r="F13">
        <v>37</v>
      </c>
    </row>
    <row r="14" spans="1:6" x14ac:dyDescent="0.2">
      <c r="A14">
        <v>13</v>
      </c>
      <c r="B14">
        <v>-43</v>
      </c>
      <c r="C14">
        <v>-82</v>
      </c>
      <c r="D14">
        <v>-79</v>
      </c>
      <c r="E14">
        <v>-82</v>
      </c>
      <c r="F14">
        <v>39</v>
      </c>
    </row>
    <row r="15" spans="1:6" x14ac:dyDescent="0.2">
      <c r="A15">
        <v>14</v>
      </c>
      <c r="B15">
        <v>-43</v>
      </c>
      <c r="C15">
        <v>-79</v>
      </c>
      <c r="D15">
        <v>-79</v>
      </c>
      <c r="E15">
        <v>-79</v>
      </c>
      <c r="F15">
        <v>36</v>
      </c>
    </row>
    <row r="16" spans="1:6" x14ac:dyDescent="0.2">
      <c r="A16">
        <v>15</v>
      </c>
      <c r="B16">
        <v>-43</v>
      </c>
      <c r="C16">
        <v>-79</v>
      </c>
      <c r="E16">
        <v>-79</v>
      </c>
      <c r="F16">
        <v>36</v>
      </c>
    </row>
    <row r="17" spans="1:11" x14ac:dyDescent="0.2">
      <c r="A17">
        <v>16</v>
      </c>
      <c r="B17">
        <v>-43</v>
      </c>
      <c r="C17">
        <v>-78</v>
      </c>
      <c r="D17">
        <v>-78</v>
      </c>
      <c r="E17">
        <v>-78</v>
      </c>
      <c r="F17">
        <v>35</v>
      </c>
    </row>
    <row r="18" spans="1:11" x14ac:dyDescent="0.2">
      <c r="A18">
        <v>17</v>
      </c>
      <c r="B18">
        <v>-43</v>
      </c>
      <c r="C18">
        <v>-78</v>
      </c>
      <c r="D18">
        <v>-79</v>
      </c>
      <c r="E18">
        <v>-79</v>
      </c>
      <c r="F18">
        <v>36</v>
      </c>
    </row>
    <row r="19" spans="1:11" x14ac:dyDescent="0.2">
      <c r="A19">
        <v>18</v>
      </c>
      <c r="B19">
        <v>-44</v>
      </c>
      <c r="D19">
        <v>-76</v>
      </c>
      <c r="E19">
        <v>-76</v>
      </c>
      <c r="F19">
        <v>32</v>
      </c>
    </row>
    <row r="20" spans="1:11" x14ac:dyDescent="0.2">
      <c r="A20">
        <v>19</v>
      </c>
      <c r="B20">
        <v>-44</v>
      </c>
      <c r="C20">
        <v>-78</v>
      </c>
      <c r="D20">
        <v>-75</v>
      </c>
      <c r="E20">
        <v>-78</v>
      </c>
      <c r="F20">
        <v>34</v>
      </c>
    </row>
    <row r="21" spans="1:11" x14ac:dyDescent="0.2">
      <c r="A21">
        <v>20</v>
      </c>
      <c r="B21">
        <v>-43</v>
      </c>
      <c r="C21">
        <v>-78</v>
      </c>
      <c r="D21">
        <v>-75</v>
      </c>
      <c r="E21">
        <v>-78</v>
      </c>
      <c r="F21">
        <v>35</v>
      </c>
    </row>
    <row r="22" spans="1:11" x14ac:dyDescent="0.2">
      <c r="A22">
        <v>21</v>
      </c>
      <c r="B22">
        <v>-43</v>
      </c>
      <c r="C22">
        <v>-78</v>
      </c>
      <c r="D22">
        <v>-75</v>
      </c>
      <c r="E22">
        <v>-78</v>
      </c>
      <c r="F22">
        <v>35</v>
      </c>
    </row>
    <row r="23" spans="1:11" x14ac:dyDescent="0.2">
      <c r="A23">
        <v>22</v>
      </c>
      <c r="B23">
        <v>-43</v>
      </c>
      <c r="C23">
        <v>-78</v>
      </c>
      <c r="D23">
        <v>-75</v>
      </c>
      <c r="E23">
        <v>-78</v>
      </c>
      <c r="F23">
        <v>35</v>
      </c>
    </row>
    <row r="24" spans="1:11" x14ac:dyDescent="0.2">
      <c r="A24">
        <v>23</v>
      </c>
      <c r="B24">
        <v>-43</v>
      </c>
      <c r="C24">
        <v>-79</v>
      </c>
      <c r="D24">
        <v>-76</v>
      </c>
      <c r="E24">
        <v>-79</v>
      </c>
      <c r="F24">
        <v>36</v>
      </c>
    </row>
    <row r="25" spans="1:11" x14ac:dyDescent="0.2">
      <c r="A25">
        <v>24</v>
      </c>
      <c r="B25">
        <v>-43</v>
      </c>
      <c r="C25">
        <v>-80</v>
      </c>
      <c r="D25">
        <v>-76</v>
      </c>
      <c r="E25">
        <v>-80</v>
      </c>
      <c r="F25">
        <v>37</v>
      </c>
    </row>
    <row r="26" spans="1:11" x14ac:dyDescent="0.2">
      <c r="A26">
        <v>25</v>
      </c>
      <c r="B26">
        <v>-43</v>
      </c>
      <c r="C26">
        <v>-79</v>
      </c>
      <c r="D26">
        <v>-76</v>
      </c>
      <c r="E26">
        <v>-79</v>
      </c>
      <c r="F26">
        <v>36</v>
      </c>
    </row>
    <row r="27" spans="1:11" x14ac:dyDescent="0.2">
      <c r="A27">
        <v>26</v>
      </c>
      <c r="B27">
        <v>-43</v>
      </c>
      <c r="C27">
        <v>-79</v>
      </c>
      <c r="D27">
        <v>-77</v>
      </c>
      <c r="E27">
        <v>-79</v>
      </c>
      <c r="F27">
        <v>36</v>
      </c>
    </row>
    <row r="28" spans="1:11" x14ac:dyDescent="0.2">
      <c r="A28">
        <v>27</v>
      </c>
      <c r="B28">
        <v>-43</v>
      </c>
      <c r="C28">
        <v>-78</v>
      </c>
      <c r="D28">
        <v>-82</v>
      </c>
      <c r="E28">
        <v>-82</v>
      </c>
      <c r="F28">
        <v>39</v>
      </c>
    </row>
    <row r="29" spans="1:11" x14ac:dyDescent="0.2">
      <c r="A29">
        <v>28</v>
      </c>
      <c r="B29">
        <v>-43</v>
      </c>
      <c r="C29">
        <v>-78</v>
      </c>
      <c r="D29">
        <v>-79</v>
      </c>
      <c r="E29">
        <v>-79</v>
      </c>
      <c r="F29">
        <v>36</v>
      </c>
    </row>
    <row r="30" spans="1:11" x14ac:dyDescent="0.2">
      <c r="A30">
        <v>29</v>
      </c>
      <c r="B30">
        <v>-43</v>
      </c>
      <c r="D30">
        <v>-79</v>
      </c>
      <c r="E30">
        <v>-79</v>
      </c>
      <c r="F30">
        <v>36</v>
      </c>
    </row>
    <row r="31" spans="1:11" ht="20" x14ac:dyDescent="0.2">
      <c r="A31">
        <v>30</v>
      </c>
      <c r="B31">
        <v>-44</v>
      </c>
      <c r="D31">
        <v>-74</v>
      </c>
      <c r="E31">
        <v>-74</v>
      </c>
      <c r="F31">
        <v>30</v>
      </c>
      <c r="K31" s="21"/>
    </row>
    <row r="32" spans="1:11" x14ac:dyDescent="0.2">
      <c r="A32">
        <v>31</v>
      </c>
      <c r="B32">
        <v>-43</v>
      </c>
      <c r="C32">
        <v>-84</v>
      </c>
      <c r="D32">
        <v>-80</v>
      </c>
      <c r="E32">
        <v>-84</v>
      </c>
      <c r="F32">
        <v>41</v>
      </c>
    </row>
    <row r="33" spans="1:6" x14ac:dyDescent="0.2">
      <c r="A33">
        <v>32</v>
      </c>
      <c r="B33">
        <v>-43</v>
      </c>
      <c r="C33">
        <v>-79</v>
      </c>
      <c r="D33">
        <v>-75</v>
      </c>
      <c r="E33">
        <v>-79</v>
      </c>
      <c r="F33">
        <v>36</v>
      </c>
    </row>
    <row r="34" spans="1:6" x14ac:dyDescent="0.2">
      <c r="A34">
        <v>33</v>
      </c>
      <c r="B34">
        <v>-44</v>
      </c>
      <c r="C34">
        <v>-82</v>
      </c>
      <c r="E34">
        <v>-82</v>
      </c>
      <c r="F34">
        <v>38</v>
      </c>
    </row>
    <row r="35" spans="1:6" x14ac:dyDescent="0.2">
      <c r="A35">
        <v>34</v>
      </c>
      <c r="C35">
        <v>-79</v>
      </c>
      <c r="E35">
        <v>-79</v>
      </c>
      <c r="F35">
        <v>79</v>
      </c>
    </row>
    <row r="36" spans="1:6" x14ac:dyDescent="0.2">
      <c r="A36">
        <v>35</v>
      </c>
      <c r="B36">
        <v>-44</v>
      </c>
      <c r="C36">
        <v>-82</v>
      </c>
      <c r="D36">
        <v>-77</v>
      </c>
      <c r="E36">
        <v>-82</v>
      </c>
      <c r="F36">
        <v>38</v>
      </c>
    </row>
    <row r="37" spans="1:6" x14ac:dyDescent="0.2">
      <c r="A37">
        <v>36</v>
      </c>
      <c r="D37">
        <v>-75</v>
      </c>
      <c r="E37">
        <v>-75</v>
      </c>
      <c r="F37">
        <v>75</v>
      </c>
    </row>
    <row r="38" spans="1:6" x14ac:dyDescent="0.2">
      <c r="A38">
        <v>37</v>
      </c>
      <c r="B38">
        <v>-44</v>
      </c>
      <c r="C38">
        <v>-83</v>
      </c>
      <c r="E38">
        <v>-83</v>
      </c>
      <c r="F38">
        <v>39</v>
      </c>
    </row>
    <row r="39" spans="1:6" x14ac:dyDescent="0.2">
      <c r="A39">
        <v>38</v>
      </c>
      <c r="B39">
        <v>-43</v>
      </c>
      <c r="C39">
        <v>-83</v>
      </c>
      <c r="D39">
        <v>-74</v>
      </c>
      <c r="E39">
        <v>-83</v>
      </c>
      <c r="F39">
        <v>40</v>
      </c>
    </row>
    <row r="40" spans="1:6" x14ac:dyDescent="0.2">
      <c r="A40">
        <v>39</v>
      </c>
      <c r="B40">
        <v>-43</v>
      </c>
      <c r="C40">
        <v>-82</v>
      </c>
      <c r="D40">
        <v>-74</v>
      </c>
      <c r="E40">
        <v>-82</v>
      </c>
      <c r="F40">
        <v>39</v>
      </c>
    </row>
    <row r="41" spans="1:6" x14ac:dyDescent="0.2">
      <c r="A41">
        <v>40</v>
      </c>
      <c r="B41">
        <v>-43</v>
      </c>
      <c r="C41">
        <v>-82</v>
      </c>
      <c r="D41">
        <v>-75</v>
      </c>
      <c r="E41">
        <v>-82</v>
      </c>
      <c r="F41">
        <v>39</v>
      </c>
    </row>
    <row r="42" spans="1:6" x14ac:dyDescent="0.2">
      <c r="A42">
        <v>41</v>
      </c>
      <c r="B42">
        <v>-43</v>
      </c>
      <c r="C42">
        <v>-81</v>
      </c>
      <c r="D42">
        <v>-75</v>
      </c>
      <c r="E42">
        <v>-81</v>
      </c>
      <c r="F42">
        <v>38</v>
      </c>
    </row>
    <row r="43" spans="1:6" x14ac:dyDescent="0.2">
      <c r="A43">
        <v>42</v>
      </c>
      <c r="B43">
        <v>-44</v>
      </c>
      <c r="C43">
        <v>-82</v>
      </c>
      <c r="D43">
        <v>-77</v>
      </c>
      <c r="E43">
        <v>-82</v>
      </c>
      <c r="F43">
        <v>38</v>
      </c>
    </row>
    <row r="44" spans="1:6" x14ac:dyDescent="0.2">
      <c r="A44">
        <v>43</v>
      </c>
      <c r="B44">
        <v>-43</v>
      </c>
      <c r="C44">
        <v>-84</v>
      </c>
      <c r="D44">
        <v>-77</v>
      </c>
      <c r="E44">
        <v>-84</v>
      </c>
      <c r="F44">
        <v>41</v>
      </c>
    </row>
    <row r="45" spans="1:6" x14ac:dyDescent="0.2">
      <c r="A45">
        <v>44</v>
      </c>
      <c r="B45">
        <v>-43</v>
      </c>
      <c r="C45">
        <v>-78</v>
      </c>
      <c r="D45">
        <v>-73</v>
      </c>
      <c r="E45">
        <v>-78</v>
      </c>
      <c r="F45">
        <v>35</v>
      </c>
    </row>
    <row r="46" spans="1:6" x14ac:dyDescent="0.2">
      <c r="A46">
        <v>45</v>
      </c>
      <c r="C46">
        <v>-78</v>
      </c>
      <c r="D46">
        <v>-73</v>
      </c>
      <c r="E46">
        <v>-78</v>
      </c>
      <c r="F46">
        <v>78</v>
      </c>
    </row>
    <row r="47" spans="1:6" x14ac:dyDescent="0.2">
      <c r="A47">
        <v>46</v>
      </c>
      <c r="C47">
        <v>-77</v>
      </c>
      <c r="D47">
        <v>-79</v>
      </c>
      <c r="E47">
        <v>-79</v>
      </c>
      <c r="F47">
        <v>79</v>
      </c>
    </row>
    <row r="48" spans="1:6" x14ac:dyDescent="0.2">
      <c r="A48">
        <v>47</v>
      </c>
      <c r="B48">
        <v>-44</v>
      </c>
      <c r="C48">
        <v>-78</v>
      </c>
      <c r="D48">
        <v>-79</v>
      </c>
      <c r="E48">
        <v>-79</v>
      </c>
      <c r="F48">
        <v>35</v>
      </c>
    </row>
    <row r="49" spans="1:6" x14ac:dyDescent="0.2">
      <c r="A49">
        <v>48</v>
      </c>
      <c r="B49">
        <v>-43</v>
      </c>
      <c r="C49">
        <v>-79</v>
      </c>
      <c r="D49">
        <v>-75</v>
      </c>
      <c r="E49">
        <v>-79</v>
      </c>
      <c r="F49">
        <v>36</v>
      </c>
    </row>
    <row r="50" spans="1:6" x14ac:dyDescent="0.2">
      <c r="A50">
        <v>49</v>
      </c>
      <c r="B50">
        <v>-43</v>
      </c>
      <c r="C50">
        <v>-79</v>
      </c>
      <c r="D50">
        <v>-75</v>
      </c>
      <c r="E50">
        <v>-79</v>
      </c>
      <c r="F50">
        <v>36</v>
      </c>
    </row>
    <row r="51" spans="1:6" x14ac:dyDescent="0.2">
      <c r="A51">
        <v>50</v>
      </c>
      <c r="B51">
        <v>-43</v>
      </c>
      <c r="C51">
        <v>-79</v>
      </c>
      <c r="D51">
        <v>-79</v>
      </c>
      <c r="E51">
        <v>-79</v>
      </c>
      <c r="F51">
        <v>36</v>
      </c>
    </row>
    <row r="52" spans="1:6" x14ac:dyDescent="0.2">
      <c r="A52">
        <v>51</v>
      </c>
      <c r="B52">
        <v>-43</v>
      </c>
      <c r="C52">
        <v>-79</v>
      </c>
      <c r="D52">
        <v>-79</v>
      </c>
      <c r="E52">
        <v>-79</v>
      </c>
      <c r="F52">
        <v>36</v>
      </c>
    </row>
    <row r="53" spans="1:6" x14ac:dyDescent="0.2">
      <c r="A53">
        <v>52</v>
      </c>
      <c r="B53">
        <v>-43</v>
      </c>
      <c r="C53">
        <v>-79</v>
      </c>
      <c r="D53">
        <v>-79</v>
      </c>
      <c r="E53">
        <v>-79</v>
      </c>
      <c r="F53">
        <v>36</v>
      </c>
    </row>
    <row r="54" spans="1:6" x14ac:dyDescent="0.2">
      <c r="A54">
        <v>53</v>
      </c>
      <c r="B54">
        <v>-43</v>
      </c>
      <c r="C54">
        <v>-81</v>
      </c>
      <c r="E54">
        <v>-81</v>
      </c>
      <c r="F54">
        <v>38</v>
      </c>
    </row>
    <row r="55" spans="1:6" x14ac:dyDescent="0.2">
      <c r="A55">
        <v>54</v>
      </c>
      <c r="B55">
        <v>-43</v>
      </c>
      <c r="C55">
        <v>-79</v>
      </c>
      <c r="D55">
        <v>-79</v>
      </c>
      <c r="E55">
        <v>-79</v>
      </c>
      <c r="F55">
        <v>36</v>
      </c>
    </row>
    <row r="56" spans="1:6" x14ac:dyDescent="0.2">
      <c r="A56">
        <v>55</v>
      </c>
      <c r="B56">
        <v>-44</v>
      </c>
      <c r="D56">
        <v>-75</v>
      </c>
      <c r="E56">
        <v>-75</v>
      </c>
      <c r="F56">
        <v>31</v>
      </c>
    </row>
    <row r="57" spans="1:6" x14ac:dyDescent="0.2">
      <c r="A57">
        <v>56</v>
      </c>
      <c r="B57">
        <v>-43</v>
      </c>
      <c r="C57">
        <v>-79</v>
      </c>
      <c r="D57">
        <v>-79</v>
      </c>
      <c r="E57">
        <v>-79</v>
      </c>
      <c r="F57">
        <v>36</v>
      </c>
    </row>
    <row r="58" spans="1:6" x14ac:dyDescent="0.2">
      <c r="A58">
        <v>57</v>
      </c>
      <c r="B58">
        <v>-43</v>
      </c>
      <c r="C58">
        <v>-82</v>
      </c>
      <c r="D58">
        <v>-75</v>
      </c>
      <c r="E58">
        <v>-82</v>
      </c>
      <c r="F58">
        <v>39</v>
      </c>
    </row>
    <row r="59" spans="1:6" x14ac:dyDescent="0.2">
      <c r="A59">
        <v>58</v>
      </c>
      <c r="C59">
        <v>-79</v>
      </c>
      <c r="D59">
        <v>-78</v>
      </c>
      <c r="E59">
        <v>-79</v>
      </c>
      <c r="F59">
        <v>79</v>
      </c>
    </row>
    <row r="60" spans="1:6" x14ac:dyDescent="0.2">
      <c r="A60">
        <v>59</v>
      </c>
      <c r="D60">
        <v>-75</v>
      </c>
      <c r="E60">
        <v>-75</v>
      </c>
      <c r="F60">
        <v>75</v>
      </c>
    </row>
    <row r="61" spans="1:6" x14ac:dyDescent="0.2">
      <c r="A61">
        <v>60</v>
      </c>
      <c r="B61">
        <v>-43</v>
      </c>
      <c r="D61">
        <v>-79</v>
      </c>
      <c r="E61">
        <v>-79</v>
      </c>
      <c r="F61">
        <v>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30CAF-2748-704A-A9C8-58BEA9C795B8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11FC1-34D6-E64A-B6AE-C7B1182E7927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filterMode="1"/>
  <dimension ref="A1:K169"/>
  <sheetViews>
    <sheetView zoomScale="98" zoomScaleNormal="100" workbookViewId="0">
      <selection activeCell="D1" sqref="D1:D1048576"/>
    </sheetView>
  </sheetViews>
  <sheetFormatPr baseColWidth="10" defaultRowHeight="16" x14ac:dyDescent="0.2"/>
  <cols>
    <col min="6" max="6" width="17.83203125" bestFit="1" customWidth="1"/>
    <col min="9" max="9" width="8.83203125" bestFit="1" customWidth="1"/>
    <col min="10" max="10" width="14.5" bestFit="1" customWidth="1"/>
    <col min="11" max="11" width="11.33203125" bestFit="1" customWidth="1"/>
  </cols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11" hidden="1" x14ac:dyDescent="0.2">
      <c r="A2">
        <v>10005</v>
      </c>
      <c r="B2">
        <v>54480</v>
      </c>
      <c r="C2">
        <v>-44</v>
      </c>
      <c r="D2">
        <v>0</v>
      </c>
      <c r="E2" t="s">
        <v>6</v>
      </c>
      <c r="F2" t="s">
        <v>7</v>
      </c>
      <c r="I2" t="s">
        <v>309</v>
      </c>
      <c r="J2" t="s">
        <v>310</v>
      </c>
      <c r="K2" t="s">
        <v>311</v>
      </c>
    </row>
    <row r="3" spans="1:11" hidden="1" x14ac:dyDescent="0.2">
      <c r="A3">
        <v>10004</v>
      </c>
      <c r="B3">
        <v>54480</v>
      </c>
      <c r="C3">
        <v>-90</v>
      </c>
      <c r="D3">
        <v>1.67</v>
      </c>
      <c r="E3" t="s">
        <v>8</v>
      </c>
      <c r="F3" t="s">
        <v>7</v>
      </c>
      <c r="I3">
        <v>10004</v>
      </c>
      <c r="J3">
        <f>COUNTIF(A2:A179, "10004")</f>
        <v>49</v>
      </c>
      <c r="K3">
        <v>-43.4</v>
      </c>
    </row>
    <row r="4" spans="1:11" hidden="1" x14ac:dyDescent="0.2">
      <c r="A4">
        <v>10004</v>
      </c>
      <c r="B4">
        <v>54480</v>
      </c>
      <c r="C4">
        <v>0</v>
      </c>
      <c r="D4">
        <v>-1</v>
      </c>
      <c r="F4" t="s">
        <v>9</v>
      </c>
      <c r="I4">
        <v>10005</v>
      </c>
      <c r="J4">
        <f>COUNTIF(A2:A179, "10005")</f>
        <v>60</v>
      </c>
      <c r="K4">
        <v>-38.200000000000003</v>
      </c>
    </row>
    <row r="5" spans="1:11" hidden="1" x14ac:dyDescent="0.2">
      <c r="A5">
        <v>10005</v>
      </c>
      <c r="B5">
        <v>54480</v>
      </c>
      <c r="C5">
        <v>-44</v>
      </c>
      <c r="D5">
        <v>0</v>
      </c>
      <c r="E5" t="s">
        <v>6</v>
      </c>
      <c r="F5" t="s">
        <v>9</v>
      </c>
      <c r="I5">
        <v>10006</v>
      </c>
      <c r="J5">
        <f>COUNTIF(A2:A179, "10006")</f>
        <v>59</v>
      </c>
      <c r="K5">
        <v>-57.7</v>
      </c>
    </row>
    <row r="6" spans="1:11" x14ac:dyDescent="0.2">
      <c r="A6">
        <v>10006</v>
      </c>
      <c r="B6">
        <v>54480</v>
      </c>
      <c r="C6">
        <v>-87</v>
      </c>
      <c r="D6">
        <v>1.1399999999999999</v>
      </c>
      <c r="E6" t="s">
        <v>8</v>
      </c>
      <c r="F6" t="s">
        <v>9</v>
      </c>
      <c r="I6" t="s">
        <v>312</v>
      </c>
      <c r="J6">
        <f>COUNTIF(E2:E179, "")</f>
        <v>64</v>
      </c>
    </row>
    <row r="7" spans="1:11" hidden="1" x14ac:dyDescent="0.2">
      <c r="A7">
        <v>10004</v>
      </c>
      <c r="B7">
        <v>54480</v>
      </c>
      <c r="C7">
        <v>0</v>
      </c>
      <c r="D7">
        <v>-1</v>
      </c>
      <c r="F7" t="s">
        <v>10</v>
      </c>
    </row>
    <row r="8" spans="1:11" hidden="1" x14ac:dyDescent="0.2">
      <c r="A8">
        <v>10005</v>
      </c>
      <c r="B8">
        <v>54480</v>
      </c>
      <c r="C8">
        <v>-44</v>
      </c>
      <c r="D8">
        <v>0</v>
      </c>
      <c r="E8" t="s">
        <v>6</v>
      </c>
      <c r="F8" t="s">
        <v>10</v>
      </c>
    </row>
    <row r="9" spans="1:11" x14ac:dyDescent="0.2">
      <c r="A9">
        <v>10006</v>
      </c>
      <c r="B9">
        <v>54480</v>
      </c>
      <c r="C9">
        <v>-83</v>
      </c>
      <c r="D9">
        <v>0.71</v>
      </c>
      <c r="E9" t="s">
        <v>8</v>
      </c>
      <c r="F9" t="s">
        <v>10</v>
      </c>
    </row>
    <row r="10" spans="1:11" hidden="1" x14ac:dyDescent="0.2">
      <c r="A10">
        <v>10004</v>
      </c>
      <c r="B10">
        <v>54480</v>
      </c>
      <c r="C10">
        <v>0</v>
      </c>
      <c r="D10">
        <v>-1</v>
      </c>
      <c r="F10" t="s">
        <v>11</v>
      </c>
    </row>
    <row r="11" spans="1:11" hidden="1" x14ac:dyDescent="0.2">
      <c r="A11">
        <v>10005</v>
      </c>
      <c r="B11">
        <v>54480</v>
      </c>
      <c r="C11">
        <v>-46</v>
      </c>
      <c r="D11">
        <v>0.01</v>
      </c>
      <c r="E11" t="s">
        <v>6</v>
      </c>
      <c r="F11" t="s">
        <v>11</v>
      </c>
    </row>
    <row r="12" spans="1:11" x14ac:dyDescent="0.2">
      <c r="A12">
        <v>10006</v>
      </c>
      <c r="B12">
        <v>54480</v>
      </c>
      <c r="C12">
        <v>-89</v>
      </c>
      <c r="D12">
        <v>0.98</v>
      </c>
      <c r="E12" t="s">
        <v>8</v>
      </c>
      <c r="F12" t="s">
        <v>11</v>
      </c>
    </row>
    <row r="13" spans="1:11" hidden="1" x14ac:dyDescent="0.2">
      <c r="A13">
        <v>10004</v>
      </c>
      <c r="B13">
        <v>54480</v>
      </c>
      <c r="C13">
        <v>0</v>
      </c>
      <c r="D13">
        <v>-1</v>
      </c>
      <c r="F13" t="s">
        <v>12</v>
      </c>
    </row>
    <row r="14" spans="1:11" hidden="1" x14ac:dyDescent="0.2">
      <c r="A14">
        <v>10005</v>
      </c>
      <c r="B14">
        <v>54480</v>
      </c>
      <c r="C14">
        <v>-45</v>
      </c>
      <c r="D14">
        <v>0.01</v>
      </c>
      <c r="E14" t="s">
        <v>6</v>
      </c>
      <c r="F14" t="s">
        <v>12</v>
      </c>
    </row>
    <row r="15" spans="1:11" x14ac:dyDescent="0.2">
      <c r="A15">
        <v>10006</v>
      </c>
      <c r="B15">
        <v>54480</v>
      </c>
      <c r="C15">
        <v>-83</v>
      </c>
      <c r="D15">
        <v>0.83</v>
      </c>
      <c r="E15" t="s">
        <v>8</v>
      </c>
      <c r="F15" t="s">
        <v>12</v>
      </c>
    </row>
    <row r="16" spans="1:11" hidden="1" x14ac:dyDescent="0.2">
      <c r="A16">
        <v>10004</v>
      </c>
      <c r="B16">
        <v>54480</v>
      </c>
      <c r="C16">
        <v>0</v>
      </c>
      <c r="D16">
        <v>-1</v>
      </c>
      <c r="F16" t="s">
        <v>13</v>
      </c>
    </row>
    <row r="17" spans="1:6" x14ac:dyDescent="0.2">
      <c r="A17">
        <v>10006</v>
      </c>
      <c r="B17">
        <v>54480</v>
      </c>
      <c r="C17">
        <v>0</v>
      </c>
      <c r="D17">
        <v>-1</v>
      </c>
      <c r="F17" t="s">
        <v>13</v>
      </c>
    </row>
    <row r="18" spans="1:6" hidden="1" x14ac:dyDescent="0.2">
      <c r="A18">
        <v>10005</v>
      </c>
      <c r="B18">
        <v>54480</v>
      </c>
      <c r="C18">
        <v>-45</v>
      </c>
      <c r="D18">
        <v>0.01</v>
      </c>
      <c r="E18" t="s">
        <v>6</v>
      </c>
      <c r="F18" t="s">
        <v>13</v>
      </c>
    </row>
    <row r="19" spans="1:6" hidden="1" x14ac:dyDescent="0.2">
      <c r="A19">
        <v>10004</v>
      </c>
      <c r="B19">
        <v>54480</v>
      </c>
      <c r="C19">
        <v>0</v>
      </c>
      <c r="D19">
        <v>-1</v>
      </c>
      <c r="F19" t="s">
        <v>14</v>
      </c>
    </row>
    <row r="20" spans="1:6" x14ac:dyDescent="0.2">
      <c r="A20">
        <v>10006</v>
      </c>
      <c r="B20">
        <v>54480</v>
      </c>
      <c r="C20">
        <v>0</v>
      </c>
      <c r="D20">
        <v>-1</v>
      </c>
      <c r="F20" t="s">
        <v>14</v>
      </c>
    </row>
    <row r="21" spans="1:6" hidden="1" x14ac:dyDescent="0.2">
      <c r="A21">
        <v>10005</v>
      </c>
      <c r="B21">
        <v>54480</v>
      </c>
      <c r="C21">
        <v>-44</v>
      </c>
      <c r="D21">
        <v>0</v>
      </c>
      <c r="E21" t="s">
        <v>6</v>
      </c>
      <c r="F21" t="s">
        <v>14</v>
      </c>
    </row>
    <row r="22" spans="1:6" hidden="1" x14ac:dyDescent="0.2">
      <c r="A22">
        <v>10004</v>
      </c>
      <c r="B22">
        <v>54480</v>
      </c>
      <c r="C22">
        <v>0</v>
      </c>
      <c r="D22">
        <v>-1</v>
      </c>
      <c r="F22" t="s">
        <v>15</v>
      </c>
    </row>
    <row r="23" spans="1:6" hidden="1" x14ac:dyDescent="0.2">
      <c r="A23">
        <v>10005</v>
      </c>
      <c r="B23">
        <v>54480</v>
      </c>
      <c r="C23">
        <v>0</v>
      </c>
      <c r="D23">
        <v>-1</v>
      </c>
      <c r="F23" t="s">
        <v>15</v>
      </c>
    </row>
    <row r="24" spans="1:6" x14ac:dyDescent="0.2">
      <c r="A24">
        <v>10006</v>
      </c>
      <c r="B24">
        <v>54480</v>
      </c>
      <c r="C24">
        <v>0</v>
      </c>
      <c r="D24">
        <v>-1</v>
      </c>
      <c r="F24" t="s">
        <v>15</v>
      </c>
    </row>
    <row r="25" spans="1:6" hidden="1" x14ac:dyDescent="0.2">
      <c r="A25">
        <v>10004</v>
      </c>
      <c r="B25">
        <v>54480</v>
      </c>
      <c r="C25">
        <v>0</v>
      </c>
      <c r="D25">
        <v>-1</v>
      </c>
      <c r="F25" t="s">
        <v>16</v>
      </c>
    </row>
    <row r="26" spans="1:6" x14ac:dyDescent="0.2">
      <c r="A26">
        <v>10006</v>
      </c>
      <c r="B26">
        <v>54480</v>
      </c>
      <c r="C26">
        <v>0</v>
      </c>
      <c r="D26">
        <v>-1</v>
      </c>
      <c r="F26" t="s">
        <v>16</v>
      </c>
    </row>
    <row r="27" spans="1:6" hidden="1" x14ac:dyDescent="0.2">
      <c r="A27">
        <v>10005</v>
      </c>
      <c r="B27">
        <v>54480</v>
      </c>
      <c r="C27">
        <v>-43</v>
      </c>
      <c r="D27">
        <v>0</v>
      </c>
      <c r="E27" t="s">
        <v>6</v>
      </c>
      <c r="F27" t="s">
        <v>16</v>
      </c>
    </row>
    <row r="28" spans="1:6" hidden="1" x14ac:dyDescent="0.2">
      <c r="A28">
        <v>10004</v>
      </c>
      <c r="B28">
        <v>54480</v>
      </c>
      <c r="C28">
        <v>0</v>
      </c>
      <c r="D28">
        <v>-1</v>
      </c>
      <c r="F28" t="s">
        <v>17</v>
      </c>
    </row>
    <row r="29" spans="1:6" x14ac:dyDescent="0.2">
      <c r="A29">
        <v>10006</v>
      </c>
      <c r="B29">
        <v>54480</v>
      </c>
      <c r="C29">
        <v>0</v>
      </c>
      <c r="D29">
        <v>-1</v>
      </c>
      <c r="F29" t="s">
        <v>17</v>
      </c>
    </row>
    <row r="30" spans="1:6" hidden="1" x14ac:dyDescent="0.2">
      <c r="A30">
        <v>10005</v>
      </c>
      <c r="B30">
        <v>54480</v>
      </c>
      <c r="C30">
        <v>-43</v>
      </c>
      <c r="D30">
        <v>0</v>
      </c>
      <c r="E30" t="s">
        <v>6</v>
      </c>
      <c r="F30" t="s">
        <v>17</v>
      </c>
    </row>
    <row r="31" spans="1:6" hidden="1" x14ac:dyDescent="0.2">
      <c r="A31">
        <v>10005</v>
      </c>
      <c r="B31">
        <v>54480</v>
      </c>
      <c r="C31">
        <v>-43</v>
      </c>
      <c r="D31">
        <v>0</v>
      </c>
      <c r="E31" t="s">
        <v>6</v>
      </c>
      <c r="F31" t="s">
        <v>18</v>
      </c>
    </row>
    <row r="32" spans="1:6" x14ac:dyDescent="0.2">
      <c r="A32">
        <v>10006</v>
      </c>
      <c r="B32">
        <v>54480</v>
      </c>
      <c r="C32">
        <v>-88</v>
      </c>
      <c r="D32">
        <v>0.96</v>
      </c>
      <c r="E32" t="s">
        <v>8</v>
      </c>
      <c r="F32" t="s">
        <v>18</v>
      </c>
    </row>
    <row r="33" spans="1:6" hidden="1" x14ac:dyDescent="0.2">
      <c r="A33">
        <v>10005</v>
      </c>
      <c r="B33">
        <v>54480</v>
      </c>
      <c r="C33">
        <v>-43</v>
      </c>
      <c r="D33">
        <v>0</v>
      </c>
      <c r="E33" t="s">
        <v>6</v>
      </c>
      <c r="F33" t="s">
        <v>19</v>
      </c>
    </row>
    <row r="34" spans="1:6" x14ac:dyDescent="0.2">
      <c r="A34">
        <v>10006</v>
      </c>
      <c r="B34">
        <v>54480</v>
      </c>
      <c r="C34">
        <v>-88</v>
      </c>
      <c r="D34">
        <v>1.1100000000000001</v>
      </c>
      <c r="E34" t="s">
        <v>8</v>
      </c>
      <c r="F34" t="s">
        <v>19</v>
      </c>
    </row>
    <row r="35" spans="1:6" hidden="1" x14ac:dyDescent="0.2">
      <c r="A35">
        <v>10005</v>
      </c>
      <c r="B35">
        <v>54480</v>
      </c>
      <c r="C35">
        <v>-43</v>
      </c>
      <c r="D35">
        <v>0</v>
      </c>
      <c r="E35" t="s">
        <v>6</v>
      </c>
      <c r="F35" t="s">
        <v>20</v>
      </c>
    </row>
    <row r="36" spans="1:6" x14ac:dyDescent="0.2">
      <c r="A36">
        <v>10006</v>
      </c>
      <c r="B36">
        <v>54480</v>
      </c>
      <c r="C36">
        <v>-88</v>
      </c>
      <c r="D36">
        <v>1.1599999999999999</v>
      </c>
      <c r="E36" t="s">
        <v>8</v>
      </c>
      <c r="F36" t="s">
        <v>20</v>
      </c>
    </row>
    <row r="37" spans="1:6" hidden="1" x14ac:dyDescent="0.2">
      <c r="A37">
        <v>10005</v>
      </c>
      <c r="B37">
        <v>54480</v>
      </c>
      <c r="C37">
        <v>-43</v>
      </c>
      <c r="D37">
        <v>0</v>
      </c>
      <c r="E37" t="s">
        <v>6</v>
      </c>
      <c r="F37" t="s">
        <v>21</v>
      </c>
    </row>
    <row r="38" spans="1:6" x14ac:dyDescent="0.2">
      <c r="A38">
        <v>10006</v>
      </c>
      <c r="B38">
        <v>54480</v>
      </c>
      <c r="C38">
        <v>-88</v>
      </c>
      <c r="D38">
        <v>1.19</v>
      </c>
      <c r="E38" t="s">
        <v>8</v>
      </c>
      <c r="F38" t="s">
        <v>21</v>
      </c>
    </row>
    <row r="39" spans="1:6" hidden="1" x14ac:dyDescent="0.2">
      <c r="A39">
        <v>10004</v>
      </c>
      <c r="B39">
        <v>54480</v>
      </c>
      <c r="C39">
        <v>-91</v>
      </c>
      <c r="D39">
        <v>1.9</v>
      </c>
      <c r="E39" t="s">
        <v>8</v>
      </c>
      <c r="F39" t="s">
        <v>21</v>
      </c>
    </row>
    <row r="40" spans="1:6" x14ac:dyDescent="0.2">
      <c r="A40">
        <v>10006</v>
      </c>
      <c r="B40">
        <v>54480</v>
      </c>
      <c r="C40">
        <v>0</v>
      </c>
      <c r="D40">
        <v>-1</v>
      </c>
      <c r="F40" t="s">
        <v>22</v>
      </c>
    </row>
    <row r="41" spans="1:6" hidden="1" x14ac:dyDescent="0.2">
      <c r="A41">
        <v>10005</v>
      </c>
      <c r="B41">
        <v>54480</v>
      </c>
      <c r="C41">
        <v>-45</v>
      </c>
      <c r="D41">
        <v>0.01</v>
      </c>
      <c r="E41" t="s">
        <v>6</v>
      </c>
      <c r="F41" t="s">
        <v>22</v>
      </c>
    </row>
    <row r="42" spans="1:6" hidden="1" x14ac:dyDescent="0.2">
      <c r="A42">
        <v>10004</v>
      </c>
      <c r="B42">
        <v>54480</v>
      </c>
      <c r="C42">
        <v>-91</v>
      </c>
      <c r="D42">
        <v>1.9</v>
      </c>
      <c r="E42" t="s">
        <v>8</v>
      </c>
      <c r="F42" t="s">
        <v>22</v>
      </c>
    </row>
    <row r="43" spans="1:6" hidden="1" x14ac:dyDescent="0.2">
      <c r="A43">
        <v>10004</v>
      </c>
      <c r="B43">
        <v>54480</v>
      </c>
      <c r="C43">
        <v>0</v>
      </c>
      <c r="D43">
        <v>-1</v>
      </c>
      <c r="F43" t="s">
        <v>23</v>
      </c>
    </row>
    <row r="44" spans="1:6" hidden="1" x14ac:dyDescent="0.2">
      <c r="A44">
        <v>10005</v>
      </c>
      <c r="B44">
        <v>54480</v>
      </c>
      <c r="C44">
        <v>-44</v>
      </c>
      <c r="D44">
        <v>0</v>
      </c>
      <c r="E44" t="s">
        <v>6</v>
      </c>
      <c r="F44" t="s">
        <v>23</v>
      </c>
    </row>
    <row r="45" spans="1:6" x14ac:dyDescent="0.2">
      <c r="A45">
        <v>10006</v>
      </c>
      <c r="B45">
        <v>54480</v>
      </c>
      <c r="C45">
        <v>-90</v>
      </c>
      <c r="D45">
        <v>1.27</v>
      </c>
      <c r="E45" t="s">
        <v>8</v>
      </c>
      <c r="F45" t="s">
        <v>23</v>
      </c>
    </row>
    <row r="46" spans="1:6" hidden="1" x14ac:dyDescent="0.2">
      <c r="A46">
        <v>10004</v>
      </c>
      <c r="B46">
        <v>54480</v>
      </c>
      <c r="C46">
        <v>0</v>
      </c>
      <c r="D46">
        <v>-1</v>
      </c>
      <c r="F46" t="s">
        <v>24</v>
      </c>
    </row>
    <row r="47" spans="1:6" hidden="1" x14ac:dyDescent="0.2">
      <c r="A47">
        <v>10005</v>
      </c>
      <c r="B47">
        <v>54480</v>
      </c>
      <c r="C47">
        <v>0</v>
      </c>
      <c r="D47">
        <v>-1</v>
      </c>
      <c r="F47" t="s">
        <v>24</v>
      </c>
    </row>
    <row r="48" spans="1:6" x14ac:dyDescent="0.2">
      <c r="A48">
        <v>10006</v>
      </c>
      <c r="B48">
        <v>54480</v>
      </c>
      <c r="C48">
        <v>-88</v>
      </c>
      <c r="D48">
        <v>1.28</v>
      </c>
      <c r="E48" t="s">
        <v>8</v>
      </c>
      <c r="F48" t="s">
        <v>24</v>
      </c>
    </row>
    <row r="49" spans="1:6" hidden="1" x14ac:dyDescent="0.2">
      <c r="A49">
        <v>10005</v>
      </c>
      <c r="B49">
        <v>54480</v>
      </c>
      <c r="C49">
        <v>-46</v>
      </c>
      <c r="D49">
        <v>0.01</v>
      </c>
      <c r="E49" t="s">
        <v>6</v>
      </c>
      <c r="F49" t="s">
        <v>25</v>
      </c>
    </row>
    <row r="50" spans="1:6" x14ac:dyDescent="0.2">
      <c r="A50">
        <v>10006</v>
      </c>
      <c r="B50">
        <v>54480</v>
      </c>
      <c r="C50">
        <v>-87</v>
      </c>
      <c r="D50">
        <v>1.25</v>
      </c>
      <c r="E50" t="s">
        <v>8</v>
      </c>
      <c r="F50" t="s">
        <v>25</v>
      </c>
    </row>
    <row r="51" spans="1:6" hidden="1" x14ac:dyDescent="0.2">
      <c r="A51">
        <v>10004</v>
      </c>
      <c r="B51">
        <v>54480</v>
      </c>
      <c r="C51">
        <v>-90</v>
      </c>
      <c r="D51">
        <v>1.78</v>
      </c>
      <c r="E51" t="s">
        <v>8</v>
      </c>
      <c r="F51" t="s">
        <v>25</v>
      </c>
    </row>
    <row r="52" spans="1:6" x14ac:dyDescent="0.2">
      <c r="A52">
        <v>10006</v>
      </c>
      <c r="B52">
        <v>54480</v>
      </c>
      <c r="C52">
        <v>0</v>
      </c>
      <c r="D52">
        <v>-1</v>
      </c>
      <c r="F52" t="s">
        <v>26</v>
      </c>
    </row>
    <row r="53" spans="1:6" hidden="1" x14ac:dyDescent="0.2">
      <c r="A53">
        <v>10005</v>
      </c>
      <c r="B53">
        <v>54480</v>
      </c>
      <c r="C53">
        <v>-46</v>
      </c>
      <c r="D53">
        <v>0.01</v>
      </c>
      <c r="E53" t="s">
        <v>6</v>
      </c>
      <c r="F53" t="s">
        <v>26</v>
      </c>
    </row>
    <row r="54" spans="1:6" hidden="1" x14ac:dyDescent="0.2">
      <c r="A54">
        <v>10004</v>
      </c>
      <c r="B54">
        <v>54480</v>
      </c>
      <c r="C54">
        <v>-90</v>
      </c>
      <c r="D54">
        <v>1.72</v>
      </c>
      <c r="E54" t="s">
        <v>8</v>
      </c>
      <c r="F54" t="s">
        <v>26</v>
      </c>
    </row>
    <row r="55" spans="1:6" hidden="1" x14ac:dyDescent="0.2">
      <c r="A55">
        <v>10004</v>
      </c>
      <c r="B55">
        <v>54480</v>
      </c>
      <c r="C55">
        <v>0</v>
      </c>
      <c r="D55">
        <v>-1</v>
      </c>
      <c r="F55" t="s">
        <v>27</v>
      </c>
    </row>
    <row r="56" spans="1:6" hidden="1" x14ac:dyDescent="0.2">
      <c r="A56">
        <v>10005</v>
      </c>
      <c r="B56">
        <v>54480</v>
      </c>
      <c r="C56">
        <v>-44</v>
      </c>
      <c r="D56">
        <v>0</v>
      </c>
      <c r="E56" t="s">
        <v>6</v>
      </c>
      <c r="F56" t="s">
        <v>27</v>
      </c>
    </row>
    <row r="57" spans="1:6" x14ac:dyDescent="0.2">
      <c r="A57">
        <v>10006</v>
      </c>
      <c r="B57">
        <v>54480</v>
      </c>
      <c r="C57">
        <v>-85</v>
      </c>
      <c r="D57">
        <v>1.17</v>
      </c>
      <c r="E57" t="s">
        <v>8</v>
      </c>
      <c r="F57" t="s">
        <v>27</v>
      </c>
    </row>
    <row r="58" spans="1:6" hidden="1" x14ac:dyDescent="0.2">
      <c r="A58">
        <v>10004</v>
      </c>
      <c r="B58">
        <v>54480</v>
      </c>
      <c r="C58">
        <v>0</v>
      </c>
      <c r="D58">
        <v>-1</v>
      </c>
      <c r="F58" t="s">
        <v>28</v>
      </c>
    </row>
    <row r="59" spans="1:6" hidden="1" x14ac:dyDescent="0.2">
      <c r="A59">
        <v>10005</v>
      </c>
      <c r="B59">
        <v>54480</v>
      </c>
      <c r="C59">
        <v>-43</v>
      </c>
      <c r="D59">
        <v>0</v>
      </c>
      <c r="E59" t="s">
        <v>6</v>
      </c>
      <c r="F59" t="s">
        <v>28</v>
      </c>
    </row>
    <row r="60" spans="1:6" x14ac:dyDescent="0.2">
      <c r="A60">
        <v>10006</v>
      </c>
      <c r="B60">
        <v>54480</v>
      </c>
      <c r="C60">
        <v>-85</v>
      </c>
      <c r="D60">
        <v>1.1000000000000001</v>
      </c>
      <c r="E60" t="s">
        <v>8</v>
      </c>
      <c r="F60" t="s">
        <v>28</v>
      </c>
    </row>
    <row r="61" spans="1:6" hidden="1" x14ac:dyDescent="0.2">
      <c r="A61">
        <v>10004</v>
      </c>
      <c r="B61">
        <v>54480</v>
      </c>
      <c r="C61">
        <v>0</v>
      </c>
      <c r="D61">
        <v>-1</v>
      </c>
      <c r="F61" t="s">
        <v>29</v>
      </c>
    </row>
    <row r="62" spans="1:6" hidden="1" x14ac:dyDescent="0.2">
      <c r="A62">
        <v>10005</v>
      </c>
      <c r="B62">
        <v>54480</v>
      </c>
      <c r="C62">
        <v>-46</v>
      </c>
      <c r="D62">
        <v>0.01</v>
      </c>
      <c r="E62" t="s">
        <v>6</v>
      </c>
      <c r="F62" t="s">
        <v>29</v>
      </c>
    </row>
    <row r="63" spans="1:6" x14ac:dyDescent="0.2">
      <c r="A63">
        <v>10006</v>
      </c>
      <c r="B63">
        <v>54480</v>
      </c>
      <c r="C63">
        <v>-88</v>
      </c>
      <c r="D63">
        <v>1.1299999999999999</v>
      </c>
      <c r="E63" t="s">
        <v>8</v>
      </c>
      <c r="F63" t="s">
        <v>29</v>
      </c>
    </row>
    <row r="64" spans="1:6" hidden="1" x14ac:dyDescent="0.2">
      <c r="A64">
        <v>10004</v>
      </c>
      <c r="B64">
        <v>54480</v>
      </c>
      <c r="C64">
        <v>0</v>
      </c>
      <c r="D64">
        <v>-1</v>
      </c>
      <c r="F64" t="s">
        <v>30</v>
      </c>
    </row>
    <row r="65" spans="1:6" hidden="1" x14ac:dyDescent="0.2">
      <c r="A65">
        <v>10005</v>
      </c>
      <c r="B65">
        <v>54480</v>
      </c>
      <c r="C65">
        <v>-44</v>
      </c>
      <c r="D65">
        <v>0</v>
      </c>
      <c r="E65" t="s">
        <v>6</v>
      </c>
      <c r="F65" t="s">
        <v>30</v>
      </c>
    </row>
    <row r="66" spans="1:6" x14ac:dyDescent="0.2">
      <c r="A66">
        <v>10006</v>
      </c>
      <c r="B66">
        <v>54480</v>
      </c>
      <c r="C66">
        <v>-85</v>
      </c>
      <c r="D66">
        <v>1.08</v>
      </c>
      <c r="E66" t="s">
        <v>8</v>
      </c>
      <c r="F66" t="s">
        <v>30</v>
      </c>
    </row>
    <row r="67" spans="1:6" hidden="1" x14ac:dyDescent="0.2">
      <c r="A67">
        <v>10004</v>
      </c>
      <c r="B67">
        <v>54480</v>
      </c>
      <c r="C67">
        <v>0</v>
      </c>
      <c r="D67">
        <v>-1</v>
      </c>
      <c r="F67" t="s">
        <v>31</v>
      </c>
    </row>
    <row r="68" spans="1:6" hidden="1" x14ac:dyDescent="0.2">
      <c r="A68">
        <v>10005</v>
      </c>
      <c r="B68">
        <v>54480</v>
      </c>
      <c r="C68">
        <v>0</v>
      </c>
      <c r="D68">
        <v>-1</v>
      </c>
      <c r="F68" t="s">
        <v>31</v>
      </c>
    </row>
    <row r="69" spans="1:6" x14ac:dyDescent="0.2">
      <c r="A69">
        <v>10006</v>
      </c>
      <c r="B69">
        <v>54480</v>
      </c>
      <c r="C69">
        <v>0</v>
      </c>
      <c r="D69">
        <v>-1</v>
      </c>
      <c r="F69" t="s">
        <v>31</v>
      </c>
    </row>
    <row r="70" spans="1:6" hidden="1" x14ac:dyDescent="0.2">
      <c r="A70">
        <v>10004</v>
      </c>
      <c r="B70">
        <v>54480</v>
      </c>
      <c r="C70">
        <v>0</v>
      </c>
      <c r="D70">
        <v>-1</v>
      </c>
      <c r="F70" t="s">
        <v>32</v>
      </c>
    </row>
    <row r="71" spans="1:6" x14ac:dyDescent="0.2">
      <c r="A71">
        <v>10006</v>
      </c>
      <c r="B71">
        <v>54480</v>
      </c>
      <c r="C71">
        <v>0</v>
      </c>
      <c r="D71">
        <v>-1</v>
      </c>
      <c r="F71" t="s">
        <v>32</v>
      </c>
    </row>
    <row r="72" spans="1:6" hidden="1" x14ac:dyDescent="0.2">
      <c r="A72">
        <v>10005</v>
      </c>
      <c r="B72">
        <v>54480</v>
      </c>
      <c r="C72">
        <v>-43</v>
      </c>
      <c r="D72">
        <v>0</v>
      </c>
      <c r="E72" t="s">
        <v>6</v>
      </c>
      <c r="F72" t="s">
        <v>32</v>
      </c>
    </row>
    <row r="73" spans="1:6" hidden="1" x14ac:dyDescent="0.2">
      <c r="A73">
        <v>10004</v>
      </c>
      <c r="B73">
        <v>54480</v>
      </c>
      <c r="C73">
        <v>0</v>
      </c>
      <c r="D73">
        <v>-1</v>
      </c>
      <c r="F73" t="s">
        <v>33</v>
      </c>
    </row>
    <row r="74" spans="1:6" hidden="1" x14ac:dyDescent="0.2">
      <c r="A74">
        <v>10005</v>
      </c>
      <c r="B74">
        <v>54480</v>
      </c>
      <c r="C74">
        <v>0</v>
      </c>
      <c r="D74">
        <v>-1</v>
      </c>
      <c r="F74" t="s">
        <v>33</v>
      </c>
    </row>
    <row r="75" spans="1:6" x14ac:dyDescent="0.2">
      <c r="A75">
        <v>10006</v>
      </c>
      <c r="B75">
        <v>54480</v>
      </c>
      <c r="C75">
        <v>-91</v>
      </c>
      <c r="D75">
        <v>1.1499999999999999</v>
      </c>
      <c r="E75" t="s">
        <v>8</v>
      </c>
      <c r="F75" t="s">
        <v>33</v>
      </c>
    </row>
    <row r="76" spans="1:6" hidden="1" x14ac:dyDescent="0.2">
      <c r="A76">
        <v>10004</v>
      </c>
      <c r="B76">
        <v>54480</v>
      </c>
      <c r="C76">
        <v>0</v>
      </c>
      <c r="D76">
        <v>-1</v>
      </c>
      <c r="F76" t="s">
        <v>34</v>
      </c>
    </row>
    <row r="77" spans="1:6" x14ac:dyDescent="0.2">
      <c r="A77">
        <v>10006</v>
      </c>
      <c r="B77">
        <v>54480</v>
      </c>
      <c r="C77">
        <v>0</v>
      </c>
      <c r="D77">
        <v>-1</v>
      </c>
      <c r="F77" t="s">
        <v>34</v>
      </c>
    </row>
    <row r="78" spans="1:6" hidden="1" x14ac:dyDescent="0.2">
      <c r="A78">
        <v>10005</v>
      </c>
      <c r="B78">
        <v>54480</v>
      </c>
      <c r="C78">
        <v>-44</v>
      </c>
      <c r="D78">
        <v>0</v>
      </c>
      <c r="E78" t="s">
        <v>6</v>
      </c>
      <c r="F78" t="s">
        <v>34</v>
      </c>
    </row>
    <row r="79" spans="1:6" hidden="1" x14ac:dyDescent="0.2">
      <c r="A79">
        <v>10005</v>
      </c>
      <c r="B79">
        <v>54480</v>
      </c>
      <c r="C79">
        <v>0</v>
      </c>
      <c r="D79">
        <v>-1</v>
      </c>
      <c r="F79" t="s">
        <v>35</v>
      </c>
    </row>
    <row r="80" spans="1:6" x14ac:dyDescent="0.2">
      <c r="A80">
        <v>10006</v>
      </c>
      <c r="B80">
        <v>54480</v>
      </c>
      <c r="C80">
        <v>-90</v>
      </c>
      <c r="D80">
        <v>1.24</v>
      </c>
      <c r="E80" t="s">
        <v>8</v>
      </c>
      <c r="F80" t="s">
        <v>35</v>
      </c>
    </row>
    <row r="81" spans="1:6" hidden="1" x14ac:dyDescent="0.2">
      <c r="A81">
        <v>10005</v>
      </c>
      <c r="B81">
        <v>54480</v>
      </c>
      <c r="C81">
        <v>-44</v>
      </c>
      <c r="D81">
        <v>0</v>
      </c>
      <c r="E81" t="s">
        <v>6</v>
      </c>
      <c r="F81" t="s">
        <v>36</v>
      </c>
    </row>
    <row r="82" spans="1:6" x14ac:dyDescent="0.2">
      <c r="A82">
        <v>10006</v>
      </c>
      <c r="B82">
        <v>54480</v>
      </c>
      <c r="C82">
        <v>-88</v>
      </c>
      <c r="D82">
        <v>1.25</v>
      </c>
      <c r="E82" t="s">
        <v>8</v>
      </c>
      <c r="F82" t="s">
        <v>36</v>
      </c>
    </row>
    <row r="83" spans="1:6" hidden="1" x14ac:dyDescent="0.2">
      <c r="A83">
        <v>10005</v>
      </c>
      <c r="B83">
        <v>54480</v>
      </c>
      <c r="C83">
        <v>-44</v>
      </c>
      <c r="D83">
        <v>0</v>
      </c>
      <c r="E83" t="s">
        <v>6</v>
      </c>
      <c r="F83" t="s">
        <v>37</v>
      </c>
    </row>
    <row r="84" spans="1:6" x14ac:dyDescent="0.2">
      <c r="A84">
        <v>10006</v>
      </c>
      <c r="B84">
        <v>54480</v>
      </c>
      <c r="C84">
        <v>-90</v>
      </c>
      <c r="D84">
        <v>1.31</v>
      </c>
      <c r="E84" t="s">
        <v>8</v>
      </c>
      <c r="F84" t="s">
        <v>37</v>
      </c>
    </row>
    <row r="85" spans="1:6" hidden="1" x14ac:dyDescent="0.2">
      <c r="A85">
        <v>10005</v>
      </c>
      <c r="B85">
        <v>54480</v>
      </c>
      <c r="C85">
        <v>-44</v>
      </c>
      <c r="D85">
        <v>0</v>
      </c>
      <c r="E85" t="s">
        <v>6</v>
      </c>
      <c r="F85" t="s">
        <v>38</v>
      </c>
    </row>
    <row r="86" spans="1:6" x14ac:dyDescent="0.2">
      <c r="A86">
        <v>10006</v>
      </c>
      <c r="B86">
        <v>54480</v>
      </c>
      <c r="C86">
        <v>-92</v>
      </c>
      <c r="D86">
        <v>1.4</v>
      </c>
      <c r="E86" t="s">
        <v>8</v>
      </c>
      <c r="F86" t="s">
        <v>38</v>
      </c>
    </row>
    <row r="87" spans="1:6" hidden="1" x14ac:dyDescent="0.2">
      <c r="A87">
        <v>10005</v>
      </c>
      <c r="B87">
        <v>54480</v>
      </c>
      <c r="C87">
        <v>-44</v>
      </c>
      <c r="D87">
        <v>0</v>
      </c>
      <c r="E87" t="s">
        <v>6</v>
      </c>
      <c r="F87" t="s">
        <v>39</v>
      </c>
    </row>
    <row r="88" spans="1:6" x14ac:dyDescent="0.2">
      <c r="A88">
        <v>10006</v>
      </c>
      <c r="B88">
        <v>54480</v>
      </c>
      <c r="C88">
        <v>-87</v>
      </c>
      <c r="D88">
        <v>1.35</v>
      </c>
      <c r="E88" t="s">
        <v>8</v>
      </c>
      <c r="F88" t="s">
        <v>39</v>
      </c>
    </row>
    <row r="89" spans="1:6" hidden="1" x14ac:dyDescent="0.2">
      <c r="A89">
        <v>10005</v>
      </c>
      <c r="B89">
        <v>54480</v>
      </c>
      <c r="C89">
        <v>-44</v>
      </c>
      <c r="D89">
        <v>0</v>
      </c>
      <c r="E89" t="s">
        <v>6</v>
      </c>
      <c r="F89" t="s">
        <v>40</v>
      </c>
    </row>
    <row r="90" spans="1:6" x14ac:dyDescent="0.2">
      <c r="A90">
        <v>10006</v>
      </c>
      <c r="B90">
        <v>54480</v>
      </c>
      <c r="C90">
        <v>-86</v>
      </c>
      <c r="D90">
        <v>1.29</v>
      </c>
      <c r="E90" t="s">
        <v>8</v>
      </c>
      <c r="F90" t="s">
        <v>40</v>
      </c>
    </row>
    <row r="91" spans="1:6" x14ac:dyDescent="0.2">
      <c r="A91">
        <v>10006</v>
      </c>
      <c r="B91">
        <v>54480</v>
      </c>
      <c r="C91">
        <v>0</v>
      </c>
      <c r="D91">
        <v>-1</v>
      </c>
      <c r="F91" t="s">
        <v>41</v>
      </c>
    </row>
    <row r="92" spans="1:6" hidden="1" x14ac:dyDescent="0.2">
      <c r="A92">
        <v>10005</v>
      </c>
      <c r="B92">
        <v>54480</v>
      </c>
      <c r="C92">
        <v>-43</v>
      </c>
      <c r="D92">
        <v>0</v>
      </c>
      <c r="E92" t="s">
        <v>6</v>
      </c>
      <c r="F92" t="s">
        <v>41</v>
      </c>
    </row>
    <row r="93" spans="1:6" hidden="1" x14ac:dyDescent="0.2">
      <c r="A93">
        <v>10005</v>
      </c>
      <c r="B93">
        <v>54480</v>
      </c>
      <c r="C93">
        <v>0</v>
      </c>
      <c r="D93">
        <v>-1</v>
      </c>
      <c r="F93" t="s">
        <v>42</v>
      </c>
    </row>
    <row r="94" spans="1:6" x14ac:dyDescent="0.2">
      <c r="A94">
        <v>10006</v>
      </c>
      <c r="B94">
        <v>54480</v>
      </c>
      <c r="C94">
        <v>-87</v>
      </c>
      <c r="D94">
        <v>1.27</v>
      </c>
      <c r="E94" t="s">
        <v>8</v>
      </c>
      <c r="F94" t="s">
        <v>42</v>
      </c>
    </row>
    <row r="95" spans="1:6" hidden="1" x14ac:dyDescent="0.2">
      <c r="A95">
        <v>10005</v>
      </c>
      <c r="B95">
        <v>54480</v>
      </c>
      <c r="C95">
        <v>-46</v>
      </c>
      <c r="D95">
        <v>0.01</v>
      </c>
      <c r="E95" t="s">
        <v>6</v>
      </c>
      <c r="F95" t="s">
        <v>43</v>
      </c>
    </row>
    <row r="96" spans="1:6" x14ac:dyDescent="0.2">
      <c r="A96">
        <v>10006</v>
      </c>
      <c r="B96">
        <v>54480</v>
      </c>
      <c r="C96">
        <v>-87</v>
      </c>
      <c r="D96">
        <v>1.24</v>
      </c>
      <c r="E96" t="s">
        <v>8</v>
      </c>
      <c r="F96" t="s">
        <v>43</v>
      </c>
    </row>
    <row r="97" spans="1:6" hidden="1" x14ac:dyDescent="0.2">
      <c r="A97">
        <v>10004</v>
      </c>
      <c r="B97">
        <v>54480</v>
      </c>
      <c r="C97">
        <v>-95</v>
      </c>
      <c r="D97">
        <v>3.16</v>
      </c>
      <c r="E97" t="s">
        <v>44</v>
      </c>
      <c r="F97" t="s">
        <v>43</v>
      </c>
    </row>
    <row r="98" spans="1:6" hidden="1" x14ac:dyDescent="0.2">
      <c r="A98">
        <v>10005</v>
      </c>
      <c r="B98">
        <v>54480</v>
      </c>
      <c r="C98">
        <v>-44</v>
      </c>
      <c r="D98">
        <v>0</v>
      </c>
      <c r="E98" t="s">
        <v>6</v>
      </c>
      <c r="F98" t="s">
        <v>45</v>
      </c>
    </row>
    <row r="99" spans="1:6" x14ac:dyDescent="0.2">
      <c r="A99">
        <v>10006</v>
      </c>
      <c r="B99">
        <v>54480</v>
      </c>
      <c r="C99">
        <v>-86</v>
      </c>
      <c r="D99">
        <v>1.2</v>
      </c>
      <c r="E99" t="s">
        <v>8</v>
      </c>
      <c r="F99" t="s">
        <v>45</v>
      </c>
    </row>
    <row r="100" spans="1:6" hidden="1" x14ac:dyDescent="0.2">
      <c r="A100">
        <v>10004</v>
      </c>
      <c r="B100">
        <v>54480</v>
      </c>
      <c r="C100">
        <v>-93</v>
      </c>
      <c r="D100">
        <v>2.59</v>
      </c>
      <c r="E100" t="s">
        <v>44</v>
      </c>
      <c r="F100" t="s">
        <v>45</v>
      </c>
    </row>
    <row r="101" spans="1:6" hidden="1" x14ac:dyDescent="0.2">
      <c r="A101">
        <v>10005</v>
      </c>
      <c r="B101">
        <v>54480</v>
      </c>
      <c r="C101">
        <v>-44</v>
      </c>
      <c r="D101">
        <v>0</v>
      </c>
      <c r="E101" t="s">
        <v>6</v>
      </c>
      <c r="F101" t="s">
        <v>46</v>
      </c>
    </row>
    <row r="102" spans="1:6" x14ac:dyDescent="0.2">
      <c r="A102">
        <v>10006</v>
      </c>
      <c r="B102">
        <v>54480</v>
      </c>
      <c r="C102">
        <v>-86</v>
      </c>
      <c r="D102">
        <v>1.17</v>
      </c>
      <c r="E102" t="s">
        <v>8</v>
      </c>
      <c r="F102" t="s">
        <v>46</v>
      </c>
    </row>
    <row r="103" spans="1:6" hidden="1" x14ac:dyDescent="0.2">
      <c r="A103">
        <v>10004</v>
      </c>
      <c r="B103">
        <v>54480</v>
      </c>
      <c r="C103">
        <v>-93</v>
      </c>
      <c r="D103">
        <v>2.52</v>
      </c>
      <c r="E103" t="s">
        <v>8</v>
      </c>
      <c r="F103" t="s">
        <v>46</v>
      </c>
    </row>
    <row r="104" spans="1:6" x14ac:dyDescent="0.2">
      <c r="A104">
        <v>10006</v>
      </c>
      <c r="B104">
        <v>54480</v>
      </c>
      <c r="C104">
        <v>0</v>
      </c>
      <c r="D104">
        <v>-1</v>
      </c>
      <c r="F104" t="s">
        <v>47</v>
      </c>
    </row>
    <row r="105" spans="1:6" hidden="1" x14ac:dyDescent="0.2">
      <c r="A105">
        <v>10005</v>
      </c>
      <c r="B105">
        <v>54480</v>
      </c>
      <c r="C105">
        <v>-46</v>
      </c>
      <c r="D105">
        <v>0.01</v>
      </c>
      <c r="E105" t="s">
        <v>6</v>
      </c>
      <c r="F105" t="s">
        <v>47</v>
      </c>
    </row>
    <row r="106" spans="1:6" hidden="1" x14ac:dyDescent="0.2">
      <c r="A106">
        <v>10004</v>
      </c>
      <c r="B106">
        <v>54480</v>
      </c>
      <c r="C106">
        <v>-93</v>
      </c>
      <c r="D106">
        <v>2.5</v>
      </c>
      <c r="E106" t="s">
        <v>8</v>
      </c>
      <c r="F106" t="s">
        <v>47</v>
      </c>
    </row>
    <row r="107" spans="1:6" x14ac:dyDescent="0.2">
      <c r="A107">
        <v>10006</v>
      </c>
      <c r="B107">
        <v>54480</v>
      </c>
      <c r="C107">
        <v>0</v>
      </c>
      <c r="D107">
        <v>-1</v>
      </c>
      <c r="F107" t="s">
        <v>48</v>
      </c>
    </row>
    <row r="108" spans="1:6" hidden="1" x14ac:dyDescent="0.2">
      <c r="A108">
        <v>10005</v>
      </c>
      <c r="B108">
        <v>54480</v>
      </c>
      <c r="C108">
        <v>-46</v>
      </c>
      <c r="D108">
        <v>0.01</v>
      </c>
      <c r="E108" t="s">
        <v>6</v>
      </c>
      <c r="F108" t="s">
        <v>48</v>
      </c>
    </row>
    <row r="109" spans="1:6" hidden="1" x14ac:dyDescent="0.2">
      <c r="A109">
        <v>10004</v>
      </c>
      <c r="B109">
        <v>54480</v>
      </c>
      <c r="C109">
        <v>-93</v>
      </c>
      <c r="D109">
        <v>2.48</v>
      </c>
      <c r="E109" t="s">
        <v>8</v>
      </c>
      <c r="F109" t="s">
        <v>48</v>
      </c>
    </row>
    <row r="110" spans="1:6" hidden="1" x14ac:dyDescent="0.2">
      <c r="A110">
        <v>10005</v>
      </c>
      <c r="B110">
        <v>54480</v>
      </c>
      <c r="C110">
        <v>-44</v>
      </c>
      <c r="D110">
        <v>0</v>
      </c>
      <c r="E110" t="s">
        <v>6</v>
      </c>
      <c r="F110" t="s">
        <v>49</v>
      </c>
    </row>
    <row r="111" spans="1:6" x14ac:dyDescent="0.2">
      <c r="A111">
        <v>10006</v>
      </c>
      <c r="B111">
        <v>54480</v>
      </c>
      <c r="C111">
        <v>-87</v>
      </c>
      <c r="D111">
        <v>1.1599999999999999</v>
      </c>
      <c r="E111" t="s">
        <v>8</v>
      </c>
      <c r="F111" t="s">
        <v>49</v>
      </c>
    </row>
    <row r="112" spans="1:6" hidden="1" x14ac:dyDescent="0.2">
      <c r="A112">
        <v>10004</v>
      </c>
      <c r="B112">
        <v>54480</v>
      </c>
      <c r="C112">
        <v>-93</v>
      </c>
      <c r="D112">
        <v>2.4700000000000002</v>
      </c>
      <c r="E112" t="s">
        <v>8</v>
      </c>
      <c r="F112" t="s">
        <v>49</v>
      </c>
    </row>
    <row r="113" spans="1:6" hidden="1" x14ac:dyDescent="0.2">
      <c r="A113">
        <v>10005</v>
      </c>
      <c r="B113">
        <v>54480</v>
      </c>
      <c r="C113">
        <v>-44</v>
      </c>
      <c r="D113">
        <v>0</v>
      </c>
      <c r="E113" t="s">
        <v>6</v>
      </c>
      <c r="F113" t="s">
        <v>50</v>
      </c>
    </row>
    <row r="114" spans="1:6" x14ac:dyDescent="0.2">
      <c r="A114">
        <v>10006</v>
      </c>
      <c r="B114">
        <v>54480</v>
      </c>
      <c r="C114">
        <v>-87</v>
      </c>
      <c r="D114">
        <v>1.1599999999999999</v>
      </c>
      <c r="E114" t="s">
        <v>8</v>
      </c>
      <c r="F114" t="s">
        <v>50</v>
      </c>
    </row>
    <row r="115" spans="1:6" hidden="1" x14ac:dyDescent="0.2">
      <c r="A115">
        <v>10004</v>
      </c>
      <c r="B115">
        <v>54480</v>
      </c>
      <c r="C115">
        <v>-93</v>
      </c>
      <c r="D115">
        <v>2.4700000000000002</v>
      </c>
      <c r="E115" t="s">
        <v>8</v>
      </c>
      <c r="F115" t="s">
        <v>50</v>
      </c>
    </row>
    <row r="116" spans="1:6" hidden="1" x14ac:dyDescent="0.2">
      <c r="A116">
        <v>10004</v>
      </c>
      <c r="B116">
        <v>54480</v>
      </c>
      <c r="C116">
        <v>0</v>
      </c>
      <c r="D116">
        <v>-1</v>
      </c>
      <c r="F116" t="s">
        <v>51</v>
      </c>
    </row>
    <row r="117" spans="1:6" hidden="1" x14ac:dyDescent="0.2">
      <c r="A117">
        <v>10005</v>
      </c>
      <c r="B117">
        <v>54480</v>
      </c>
      <c r="C117">
        <v>-44</v>
      </c>
      <c r="D117">
        <v>0</v>
      </c>
      <c r="E117" t="s">
        <v>6</v>
      </c>
      <c r="F117" t="s">
        <v>51</v>
      </c>
    </row>
    <row r="118" spans="1:6" x14ac:dyDescent="0.2">
      <c r="A118">
        <v>10006</v>
      </c>
      <c r="B118">
        <v>54480</v>
      </c>
      <c r="C118">
        <v>-85</v>
      </c>
      <c r="D118">
        <v>1.0900000000000001</v>
      </c>
      <c r="E118" t="s">
        <v>8</v>
      </c>
      <c r="F118" t="s">
        <v>51</v>
      </c>
    </row>
    <row r="119" spans="1:6" hidden="1" x14ac:dyDescent="0.2">
      <c r="A119">
        <v>10004</v>
      </c>
      <c r="B119">
        <v>54480</v>
      </c>
      <c r="C119">
        <v>0</v>
      </c>
      <c r="D119">
        <v>-1</v>
      </c>
      <c r="F119" t="s">
        <v>52</v>
      </c>
    </row>
    <row r="120" spans="1:6" hidden="1" x14ac:dyDescent="0.2">
      <c r="A120">
        <v>10005</v>
      </c>
      <c r="B120">
        <v>54480</v>
      </c>
      <c r="C120">
        <v>-43</v>
      </c>
      <c r="D120">
        <v>0</v>
      </c>
      <c r="E120" t="s">
        <v>6</v>
      </c>
      <c r="F120" t="s">
        <v>52</v>
      </c>
    </row>
    <row r="121" spans="1:6" x14ac:dyDescent="0.2">
      <c r="A121">
        <v>10006</v>
      </c>
      <c r="B121">
        <v>54480</v>
      </c>
      <c r="C121">
        <v>-85</v>
      </c>
      <c r="D121">
        <v>1.05</v>
      </c>
      <c r="E121" t="s">
        <v>8</v>
      </c>
      <c r="F121" t="s">
        <v>52</v>
      </c>
    </row>
    <row r="122" spans="1:6" x14ac:dyDescent="0.2">
      <c r="A122">
        <v>10006</v>
      </c>
      <c r="B122">
        <v>54480</v>
      </c>
      <c r="C122">
        <v>0</v>
      </c>
      <c r="D122">
        <v>-1</v>
      </c>
      <c r="F122" t="s">
        <v>53</v>
      </c>
    </row>
    <row r="123" spans="1:6" hidden="1" x14ac:dyDescent="0.2">
      <c r="A123">
        <v>10005</v>
      </c>
      <c r="B123">
        <v>54480</v>
      </c>
      <c r="C123">
        <v>-46</v>
      </c>
      <c r="D123">
        <v>0.01</v>
      </c>
      <c r="E123" t="s">
        <v>6</v>
      </c>
      <c r="F123" t="s">
        <v>53</v>
      </c>
    </row>
    <row r="124" spans="1:6" hidden="1" x14ac:dyDescent="0.2">
      <c r="A124">
        <v>10004</v>
      </c>
      <c r="B124">
        <v>54480</v>
      </c>
      <c r="C124">
        <v>-95</v>
      </c>
      <c r="D124">
        <v>2.57</v>
      </c>
      <c r="E124" t="s">
        <v>8</v>
      </c>
      <c r="F124" t="s">
        <v>53</v>
      </c>
    </row>
    <row r="125" spans="1:6" hidden="1" x14ac:dyDescent="0.2">
      <c r="A125">
        <v>10004</v>
      </c>
      <c r="B125">
        <v>54480</v>
      </c>
      <c r="C125">
        <v>0</v>
      </c>
      <c r="D125">
        <v>-1</v>
      </c>
      <c r="F125" t="s">
        <v>54</v>
      </c>
    </row>
    <row r="126" spans="1:6" hidden="1" x14ac:dyDescent="0.2">
      <c r="A126">
        <v>10005</v>
      </c>
      <c r="B126">
        <v>54480</v>
      </c>
      <c r="C126">
        <v>-43</v>
      </c>
      <c r="D126">
        <v>0</v>
      </c>
      <c r="E126" t="s">
        <v>6</v>
      </c>
      <c r="F126" t="s">
        <v>54</v>
      </c>
    </row>
    <row r="127" spans="1:6" x14ac:dyDescent="0.2">
      <c r="A127">
        <v>10006</v>
      </c>
      <c r="B127">
        <v>54480</v>
      </c>
      <c r="C127">
        <v>-87</v>
      </c>
      <c r="D127">
        <v>1.06</v>
      </c>
      <c r="E127" t="s">
        <v>8</v>
      </c>
      <c r="F127" t="s">
        <v>54</v>
      </c>
    </row>
    <row r="128" spans="1:6" x14ac:dyDescent="0.2">
      <c r="A128">
        <v>10006</v>
      </c>
      <c r="B128">
        <v>54480</v>
      </c>
      <c r="C128">
        <v>0</v>
      </c>
      <c r="D128">
        <v>-1</v>
      </c>
      <c r="F128" t="s">
        <v>55</v>
      </c>
    </row>
    <row r="129" spans="1:6" hidden="1" x14ac:dyDescent="0.2">
      <c r="A129">
        <v>10005</v>
      </c>
      <c r="B129">
        <v>54480</v>
      </c>
      <c r="C129">
        <v>-46</v>
      </c>
      <c r="D129">
        <v>0.01</v>
      </c>
      <c r="E129" t="s">
        <v>6</v>
      </c>
      <c r="F129" t="s">
        <v>55</v>
      </c>
    </row>
    <row r="130" spans="1:6" hidden="1" x14ac:dyDescent="0.2">
      <c r="A130">
        <v>10004</v>
      </c>
      <c r="B130">
        <v>54480</v>
      </c>
      <c r="C130">
        <v>-94</v>
      </c>
      <c r="D130">
        <v>2.61</v>
      </c>
      <c r="E130" t="s">
        <v>8</v>
      </c>
      <c r="F130" t="s">
        <v>55</v>
      </c>
    </row>
    <row r="131" spans="1:6" hidden="1" x14ac:dyDescent="0.2">
      <c r="A131">
        <v>10004</v>
      </c>
      <c r="B131">
        <v>54480</v>
      </c>
      <c r="C131">
        <v>0</v>
      </c>
      <c r="D131">
        <v>-1</v>
      </c>
      <c r="F131" t="s">
        <v>56</v>
      </c>
    </row>
    <row r="132" spans="1:6" hidden="1" x14ac:dyDescent="0.2">
      <c r="A132">
        <v>10005</v>
      </c>
      <c r="B132">
        <v>54480</v>
      </c>
      <c r="C132">
        <v>-43</v>
      </c>
      <c r="D132">
        <v>0</v>
      </c>
      <c r="E132" t="s">
        <v>6</v>
      </c>
      <c r="F132" t="s">
        <v>56</v>
      </c>
    </row>
    <row r="133" spans="1:6" x14ac:dyDescent="0.2">
      <c r="A133">
        <v>10006</v>
      </c>
      <c r="B133">
        <v>54480</v>
      </c>
      <c r="C133">
        <v>-85</v>
      </c>
      <c r="D133">
        <v>1.02</v>
      </c>
      <c r="E133" t="s">
        <v>8</v>
      </c>
      <c r="F133" t="s">
        <v>56</v>
      </c>
    </row>
    <row r="134" spans="1:6" x14ac:dyDescent="0.2">
      <c r="A134">
        <v>10006</v>
      </c>
      <c r="B134">
        <v>54480</v>
      </c>
      <c r="C134">
        <v>0</v>
      </c>
      <c r="D134">
        <v>-1</v>
      </c>
      <c r="F134" t="s">
        <v>57</v>
      </c>
    </row>
    <row r="135" spans="1:6" hidden="1" x14ac:dyDescent="0.2">
      <c r="A135">
        <v>10005</v>
      </c>
      <c r="B135">
        <v>54480</v>
      </c>
      <c r="C135">
        <v>-46</v>
      </c>
      <c r="D135">
        <v>0.01</v>
      </c>
      <c r="E135" t="s">
        <v>6</v>
      </c>
      <c r="F135" t="s">
        <v>57</v>
      </c>
    </row>
    <row r="136" spans="1:6" hidden="1" x14ac:dyDescent="0.2">
      <c r="A136">
        <v>10004</v>
      </c>
      <c r="B136">
        <v>54480</v>
      </c>
      <c r="C136">
        <v>-95</v>
      </c>
      <c r="D136">
        <v>2.7</v>
      </c>
      <c r="E136" t="s">
        <v>8</v>
      </c>
      <c r="F136" t="s">
        <v>57</v>
      </c>
    </row>
    <row r="137" spans="1:6" hidden="1" x14ac:dyDescent="0.2">
      <c r="A137">
        <v>10004</v>
      </c>
      <c r="B137">
        <v>54480</v>
      </c>
      <c r="C137">
        <v>0</v>
      </c>
      <c r="D137">
        <v>-1</v>
      </c>
      <c r="F137" t="s">
        <v>58</v>
      </c>
    </row>
    <row r="138" spans="1:6" hidden="1" x14ac:dyDescent="0.2">
      <c r="A138">
        <v>10005</v>
      </c>
      <c r="B138">
        <v>54480</v>
      </c>
      <c r="C138">
        <v>0</v>
      </c>
      <c r="D138">
        <v>-1</v>
      </c>
      <c r="F138" t="s">
        <v>58</v>
      </c>
    </row>
    <row r="139" spans="1:6" x14ac:dyDescent="0.2">
      <c r="A139">
        <v>10006</v>
      </c>
      <c r="B139">
        <v>54480</v>
      </c>
      <c r="C139">
        <v>-85</v>
      </c>
      <c r="D139">
        <v>0.99</v>
      </c>
      <c r="E139" t="s">
        <v>8</v>
      </c>
      <c r="F139" t="s">
        <v>58</v>
      </c>
    </row>
    <row r="140" spans="1:6" hidden="1" x14ac:dyDescent="0.2">
      <c r="A140">
        <v>10004</v>
      </c>
      <c r="B140">
        <v>54480</v>
      </c>
      <c r="C140">
        <v>0</v>
      </c>
      <c r="D140">
        <v>-1</v>
      </c>
      <c r="F140" t="s">
        <v>59</v>
      </c>
    </row>
    <row r="141" spans="1:6" hidden="1" x14ac:dyDescent="0.2">
      <c r="A141">
        <v>10005</v>
      </c>
      <c r="B141">
        <v>54480</v>
      </c>
      <c r="C141">
        <v>0</v>
      </c>
      <c r="D141">
        <v>-1</v>
      </c>
      <c r="F141" t="s">
        <v>59</v>
      </c>
    </row>
    <row r="142" spans="1:6" x14ac:dyDescent="0.2">
      <c r="A142">
        <v>10006</v>
      </c>
      <c r="B142">
        <v>54480</v>
      </c>
      <c r="C142">
        <v>0</v>
      </c>
      <c r="D142">
        <v>-1</v>
      </c>
      <c r="F142" t="s">
        <v>59</v>
      </c>
    </row>
    <row r="143" spans="1:6" hidden="1" x14ac:dyDescent="0.2">
      <c r="A143">
        <v>10004</v>
      </c>
      <c r="B143">
        <v>54480</v>
      </c>
      <c r="C143">
        <v>0</v>
      </c>
      <c r="D143">
        <v>-1</v>
      </c>
      <c r="F143" t="s">
        <v>60</v>
      </c>
    </row>
    <row r="144" spans="1:6" hidden="1" x14ac:dyDescent="0.2">
      <c r="A144">
        <v>10005</v>
      </c>
      <c r="B144">
        <v>54480</v>
      </c>
      <c r="C144">
        <v>-44</v>
      </c>
      <c r="D144">
        <v>0</v>
      </c>
      <c r="E144" t="s">
        <v>6</v>
      </c>
      <c r="F144" t="s">
        <v>60</v>
      </c>
    </row>
    <row r="145" spans="1:6" x14ac:dyDescent="0.2">
      <c r="A145">
        <v>10006</v>
      </c>
      <c r="B145">
        <v>54480</v>
      </c>
      <c r="C145">
        <v>-87</v>
      </c>
      <c r="D145">
        <v>1.02</v>
      </c>
      <c r="E145" t="s">
        <v>8</v>
      </c>
      <c r="F145" t="s">
        <v>60</v>
      </c>
    </row>
    <row r="146" spans="1:6" x14ac:dyDescent="0.2">
      <c r="A146">
        <v>10006</v>
      </c>
      <c r="B146">
        <v>54480</v>
      </c>
      <c r="C146">
        <v>0</v>
      </c>
      <c r="D146">
        <v>-1</v>
      </c>
      <c r="F146" t="s">
        <v>61</v>
      </c>
    </row>
    <row r="147" spans="1:6" hidden="1" x14ac:dyDescent="0.2">
      <c r="A147">
        <v>10005</v>
      </c>
      <c r="B147">
        <v>54480</v>
      </c>
      <c r="C147">
        <v>-43</v>
      </c>
      <c r="D147">
        <v>0</v>
      </c>
      <c r="E147" t="s">
        <v>6</v>
      </c>
      <c r="F147" t="s">
        <v>61</v>
      </c>
    </row>
    <row r="148" spans="1:6" hidden="1" x14ac:dyDescent="0.2">
      <c r="A148">
        <v>10004</v>
      </c>
      <c r="B148">
        <v>54480</v>
      </c>
      <c r="C148">
        <v>-93</v>
      </c>
      <c r="D148">
        <v>2.65</v>
      </c>
      <c r="E148" t="s">
        <v>8</v>
      </c>
      <c r="F148" t="s">
        <v>61</v>
      </c>
    </row>
    <row r="149" spans="1:6" hidden="1" x14ac:dyDescent="0.2">
      <c r="A149">
        <v>10005</v>
      </c>
      <c r="B149">
        <v>54480</v>
      </c>
      <c r="C149">
        <v>-43</v>
      </c>
      <c r="D149">
        <v>0</v>
      </c>
      <c r="E149" t="s">
        <v>6</v>
      </c>
      <c r="F149" t="s">
        <v>62</v>
      </c>
    </row>
    <row r="150" spans="1:6" x14ac:dyDescent="0.2">
      <c r="A150">
        <v>10006</v>
      </c>
      <c r="B150">
        <v>54480</v>
      </c>
      <c r="C150">
        <v>-90</v>
      </c>
      <c r="D150">
        <v>1.1100000000000001</v>
      </c>
      <c r="E150" t="s">
        <v>8</v>
      </c>
      <c r="F150" t="s">
        <v>62</v>
      </c>
    </row>
    <row r="151" spans="1:6" hidden="1" x14ac:dyDescent="0.2">
      <c r="A151">
        <v>10004</v>
      </c>
      <c r="B151">
        <v>54480</v>
      </c>
      <c r="C151">
        <v>-93</v>
      </c>
      <c r="D151">
        <v>2.61</v>
      </c>
      <c r="E151" t="s">
        <v>8</v>
      </c>
      <c r="F151" t="s">
        <v>62</v>
      </c>
    </row>
    <row r="152" spans="1:6" hidden="1" x14ac:dyDescent="0.2">
      <c r="A152">
        <v>10005</v>
      </c>
      <c r="B152">
        <v>54480</v>
      </c>
      <c r="C152">
        <v>-43</v>
      </c>
      <c r="D152">
        <v>0</v>
      </c>
      <c r="E152" t="s">
        <v>6</v>
      </c>
      <c r="F152" t="s">
        <v>63</v>
      </c>
    </row>
    <row r="153" spans="1:6" x14ac:dyDescent="0.2">
      <c r="A153">
        <v>10006</v>
      </c>
      <c r="B153">
        <v>54480</v>
      </c>
      <c r="C153">
        <v>-90</v>
      </c>
      <c r="D153">
        <v>1.2</v>
      </c>
      <c r="E153" t="s">
        <v>8</v>
      </c>
      <c r="F153" t="s">
        <v>63</v>
      </c>
    </row>
    <row r="154" spans="1:6" hidden="1" x14ac:dyDescent="0.2">
      <c r="A154">
        <v>10004</v>
      </c>
      <c r="B154">
        <v>54480</v>
      </c>
      <c r="C154">
        <v>-93</v>
      </c>
      <c r="D154">
        <v>2.58</v>
      </c>
      <c r="E154" t="s">
        <v>8</v>
      </c>
      <c r="F154" t="s">
        <v>63</v>
      </c>
    </row>
    <row r="155" spans="1:6" x14ac:dyDescent="0.2">
      <c r="A155">
        <v>10006</v>
      </c>
      <c r="B155">
        <v>54480</v>
      </c>
      <c r="C155">
        <v>0</v>
      </c>
      <c r="D155">
        <v>-1</v>
      </c>
      <c r="F155" t="s">
        <v>64</v>
      </c>
    </row>
    <row r="156" spans="1:6" hidden="1" x14ac:dyDescent="0.2">
      <c r="A156">
        <v>10005</v>
      </c>
      <c r="B156">
        <v>54480</v>
      </c>
      <c r="C156">
        <v>-44</v>
      </c>
      <c r="D156">
        <v>0</v>
      </c>
      <c r="E156" t="s">
        <v>6</v>
      </c>
      <c r="F156" t="s">
        <v>64</v>
      </c>
    </row>
    <row r="157" spans="1:6" hidden="1" x14ac:dyDescent="0.2">
      <c r="A157">
        <v>10004</v>
      </c>
      <c r="B157">
        <v>54480</v>
      </c>
      <c r="C157">
        <v>-93</v>
      </c>
      <c r="D157">
        <v>2.5499999999999998</v>
      </c>
      <c r="E157" t="s">
        <v>8</v>
      </c>
      <c r="F157" t="s">
        <v>64</v>
      </c>
    </row>
    <row r="158" spans="1:6" x14ac:dyDescent="0.2">
      <c r="A158">
        <v>10006</v>
      </c>
      <c r="B158">
        <v>54480</v>
      </c>
      <c r="C158">
        <v>0</v>
      </c>
      <c r="D158">
        <v>-1</v>
      </c>
      <c r="F158" t="s">
        <v>65</v>
      </c>
    </row>
    <row r="159" spans="1:6" hidden="1" x14ac:dyDescent="0.2">
      <c r="A159">
        <v>10005</v>
      </c>
      <c r="B159">
        <v>54480</v>
      </c>
      <c r="C159">
        <v>-44</v>
      </c>
      <c r="D159">
        <v>0</v>
      </c>
      <c r="E159" t="s">
        <v>6</v>
      </c>
      <c r="F159" t="s">
        <v>65</v>
      </c>
    </row>
    <row r="160" spans="1:6" hidden="1" x14ac:dyDescent="0.2">
      <c r="A160">
        <v>10004</v>
      </c>
      <c r="B160">
        <v>54480</v>
      </c>
      <c r="C160">
        <v>-93</v>
      </c>
      <c r="D160">
        <v>2.54</v>
      </c>
      <c r="E160" t="s">
        <v>8</v>
      </c>
      <c r="F160" t="s">
        <v>65</v>
      </c>
    </row>
    <row r="161" spans="1:6" hidden="1" x14ac:dyDescent="0.2">
      <c r="A161">
        <v>10005</v>
      </c>
      <c r="B161">
        <v>54480</v>
      </c>
      <c r="C161">
        <v>-44</v>
      </c>
      <c r="D161">
        <v>0</v>
      </c>
      <c r="E161" t="s">
        <v>6</v>
      </c>
      <c r="F161" t="s">
        <v>66</v>
      </c>
    </row>
    <row r="162" spans="1:6" x14ac:dyDescent="0.2">
      <c r="A162">
        <v>10006</v>
      </c>
      <c r="B162">
        <v>54480</v>
      </c>
      <c r="C162">
        <v>-88</v>
      </c>
      <c r="D162">
        <v>1.22</v>
      </c>
      <c r="E162" t="s">
        <v>8</v>
      </c>
      <c r="F162" t="s">
        <v>66</v>
      </c>
    </row>
    <row r="163" spans="1:6" hidden="1" x14ac:dyDescent="0.2">
      <c r="A163">
        <v>10004</v>
      </c>
      <c r="B163">
        <v>54480</v>
      </c>
      <c r="C163">
        <v>-93</v>
      </c>
      <c r="D163">
        <v>2.5299999999999998</v>
      </c>
      <c r="E163" t="s">
        <v>8</v>
      </c>
      <c r="F163" t="s">
        <v>66</v>
      </c>
    </row>
    <row r="164" spans="1:6" hidden="1" x14ac:dyDescent="0.2">
      <c r="A164">
        <v>10005</v>
      </c>
      <c r="B164">
        <v>54480</v>
      </c>
      <c r="C164">
        <v>-44</v>
      </c>
      <c r="D164">
        <v>0</v>
      </c>
      <c r="E164" t="s">
        <v>6</v>
      </c>
      <c r="F164" t="s">
        <v>67</v>
      </c>
    </row>
    <row r="165" spans="1:6" x14ac:dyDescent="0.2">
      <c r="A165">
        <v>10006</v>
      </c>
      <c r="B165">
        <v>54480</v>
      </c>
      <c r="C165">
        <v>-88</v>
      </c>
      <c r="D165">
        <v>1.24</v>
      </c>
      <c r="E165" t="s">
        <v>8</v>
      </c>
      <c r="F165" t="s">
        <v>67</v>
      </c>
    </row>
    <row r="166" spans="1:6" hidden="1" x14ac:dyDescent="0.2">
      <c r="A166">
        <v>10004</v>
      </c>
      <c r="B166">
        <v>54480</v>
      </c>
      <c r="C166">
        <v>-91</v>
      </c>
      <c r="D166">
        <v>2.4300000000000002</v>
      </c>
      <c r="E166" t="s">
        <v>8</v>
      </c>
      <c r="F166" t="s">
        <v>67</v>
      </c>
    </row>
    <row r="167" spans="1:6" hidden="1" x14ac:dyDescent="0.2">
      <c r="A167">
        <v>10005</v>
      </c>
      <c r="B167">
        <v>54480</v>
      </c>
      <c r="C167">
        <v>-46</v>
      </c>
      <c r="D167">
        <v>0.01</v>
      </c>
      <c r="E167" t="s">
        <v>6</v>
      </c>
      <c r="F167" t="s">
        <v>68</v>
      </c>
    </row>
    <row r="168" spans="1:6" x14ac:dyDescent="0.2">
      <c r="A168">
        <v>10006</v>
      </c>
      <c r="B168">
        <v>54480</v>
      </c>
      <c r="C168">
        <v>-87</v>
      </c>
      <c r="D168">
        <v>1.21</v>
      </c>
      <c r="E168" t="s">
        <v>8</v>
      </c>
      <c r="F168" t="s">
        <v>68</v>
      </c>
    </row>
    <row r="169" spans="1:6" hidden="1" x14ac:dyDescent="0.2">
      <c r="A169">
        <v>10004</v>
      </c>
      <c r="B169">
        <v>54480</v>
      </c>
      <c r="C169">
        <v>-91</v>
      </c>
      <c r="D169">
        <v>2.35</v>
      </c>
      <c r="E169" t="s">
        <v>8</v>
      </c>
      <c r="F169" t="s">
        <v>68</v>
      </c>
    </row>
  </sheetData>
  <autoFilter ref="A1:F169" xr:uid="{00000000-0009-0000-0000-000003000000}">
    <filterColumn colId="0">
      <filters>
        <filter val="10006"/>
      </filters>
    </filterColumn>
  </autoFilter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filterMode="1"/>
  <dimension ref="A1:J179"/>
  <sheetViews>
    <sheetView workbookViewId="0">
      <selection activeCell="D1" sqref="D1:D1048576"/>
    </sheetView>
  </sheetViews>
  <sheetFormatPr baseColWidth="10" defaultRowHeight="16" x14ac:dyDescent="0.2"/>
  <cols>
    <col min="6" max="6" width="17.83203125" bestFit="1" customWidth="1"/>
  </cols>
  <sheetData>
    <row r="1" spans="1:10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10" hidden="1" x14ac:dyDescent="0.2">
      <c r="A2">
        <v>10005</v>
      </c>
      <c r="B2">
        <v>54480</v>
      </c>
      <c r="C2">
        <v>-82</v>
      </c>
      <c r="D2">
        <v>0.6</v>
      </c>
      <c r="E2" t="s">
        <v>8</v>
      </c>
      <c r="F2" t="s">
        <v>69</v>
      </c>
    </row>
    <row r="3" spans="1:10" x14ac:dyDescent="0.2">
      <c r="A3">
        <v>10006</v>
      </c>
      <c r="B3">
        <v>54480</v>
      </c>
      <c r="C3">
        <v>-43</v>
      </c>
      <c r="D3">
        <v>0</v>
      </c>
      <c r="E3" t="s">
        <v>6</v>
      </c>
      <c r="F3" t="s">
        <v>70</v>
      </c>
      <c r="H3" t="s">
        <v>309</v>
      </c>
      <c r="I3" t="s">
        <v>310</v>
      </c>
      <c r="J3" t="s">
        <v>311</v>
      </c>
    </row>
    <row r="4" spans="1:10" hidden="1" x14ac:dyDescent="0.2">
      <c r="A4">
        <v>10005</v>
      </c>
      <c r="B4">
        <v>54480</v>
      </c>
      <c r="C4">
        <v>-80</v>
      </c>
      <c r="D4">
        <v>0.47</v>
      </c>
      <c r="E4" t="s">
        <v>8</v>
      </c>
      <c r="F4" t="s">
        <v>70</v>
      </c>
      <c r="H4">
        <v>10004</v>
      </c>
      <c r="I4">
        <f>COUNTIF(A2:A179, "10004")</f>
        <v>59</v>
      </c>
      <c r="J4">
        <v>-60.3</v>
      </c>
    </row>
    <row r="5" spans="1:10" hidden="1" x14ac:dyDescent="0.2">
      <c r="A5">
        <v>10004</v>
      </c>
      <c r="B5">
        <v>54480</v>
      </c>
      <c r="C5">
        <v>-94</v>
      </c>
      <c r="D5">
        <v>2.78</v>
      </c>
      <c r="E5" t="s">
        <v>8</v>
      </c>
      <c r="F5" t="s">
        <v>70</v>
      </c>
      <c r="H5">
        <v>10005</v>
      </c>
      <c r="I5">
        <f>COUNTIF(A2:A179, "10005")</f>
        <v>60</v>
      </c>
      <c r="J5">
        <v>-62.3</v>
      </c>
    </row>
    <row r="6" spans="1:10" x14ac:dyDescent="0.2">
      <c r="A6">
        <v>10006</v>
      </c>
      <c r="B6">
        <v>54480</v>
      </c>
      <c r="C6">
        <v>-43</v>
      </c>
      <c r="D6">
        <v>0</v>
      </c>
      <c r="E6" t="s">
        <v>6</v>
      </c>
      <c r="F6" t="s">
        <v>71</v>
      </c>
      <c r="H6">
        <v>10006</v>
      </c>
      <c r="I6">
        <f>COUNTIF(A2:A179, "10006")</f>
        <v>59</v>
      </c>
      <c r="J6">
        <v>-37.200000000000003</v>
      </c>
    </row>
    <row r="7" spans="1:10" hidden="1" x14ac:dyDescent="0.2">
      <c r="A7">
        <v>10005</v>
      </c>
      <c r="B7">
        <v>54480</v>
      </c>
      <c r="C7">
        <v>-80</v>
      </c>
      <c r="D7">
        <v>0.47</v>
      </c>
      <c r="E7" t="s">
        <v>8</v>
      </c>
      <c r="F7" t="s">
        <v>71</v>
      </c>
      <c r="H7" t="s">
        <v>312</v>
      </c>
      <c r="I7">
        <f>COUNTIF(E2:E179, "")</f>
        <v>39</v>
      </c>
    </row>
    <row r="8" spans="1:10" hidden="1" x14ac:dyDescent="0.2">
      <c r="A8">
        <v>10004</v>
      </c>
      <c r="B8">
        <v>54480</v>
      </c>
      <c r="C8">
        <v>-89</v>
      </c>
      <c r="D8">
        <v>1.64</v>
      </c>
      <c r="E8" t="s">
        <v>8</v>
      </c>
      <c r="F8" t="s">
        <v>71</v>
      </c>
    </row>
    <row r="9" spans="1:10" x14ac:dyDescent="0.2">
      <c r="A9">
        <v>10006</v>
      </c>
      <c r="B9">
        <v>54480</v>
      </c>
      <c r="C9">
        <v>-42</v>
      </c>
      <c r="D9">
        <v>0</v>
      </c>
      <c r="E9" t="s">
        <v>6</v>
      </c>
      <c r="F9" t="s">
        <v>72</v>
      </c>
    </row>
    <row r="10" spans="1:10" hidden="1" x14ac:dyDescent="0.2">
      <c r="A10">
        <v>10005</v>
      </c>
      <c r="B10">
        <v>54480</v>
      </c>
      <c r="C10">
        <v>-89</v>
      </c>
      <c r="D10">
        <v>0.7</v>
      </c>
      <c r="E10" t="s">
        <v>8</v>
      </c>
      <c r="F10" t="s">
        <v>72</v>
      </c>
    </row>
    <row r="11" spans="1:10" hidden="1" x14ac:dyDescent="0.2">
      <c r="A11">
        <v>10004</v>
      </c>
      <c r="B11">
        <v>54480</v>
      </c>
      <c r="C11">
        <v>-80</v>
      </c>
      <c r="D11">
        <v>0.75</v>
      </c>
      <c r="E11" t="s">
        <v>8</v>
      </c>
      <c r="F11" t="s">
        <v>72</v>
      </c>
    </row>
    <row r="12" spans="1:10" x14ac:dyDescent="0.2">
      <c r="A12">
        <v>10006</v>
      </c>
      <c r="B12">
        <v>54480</v>
      </c>
      <c r="C12">
        <v>-42</v>
      </c>
      <c r="D12">
        <v>0</v>
      </c>
      <c r="E12" t="s">
        <v>6</v>
      </c>
      <c r="F12" t="s">
        <v>73</v>
      </c>
    </row>
    <row r="13" spans="1:10" hidden="1" x14ac:dyDescent="0.2">
      <c r="A13">
        <v>10004</v>
      </c>
      <c r="B13">
        <v>54480</v>
      </c>
      <c r="C13">
        <v>-80</v>
      </c>
      <c r="D13">
        <v>0.6</v>
      </c>
      <c r="E13" t="s">
        <v>8</v>
      </c>
      <c r="F13" t="s">
        <v>73</v>
      </c>
    </row>
    <row r="14" spans="1:10" hidden="1" x14ac:dyDescent="0.2">
      <c r="A14">
        <v>10005</v>
      </c>
      <c r="B14">
        <v>54480</v>
      </c>
      <c r="C14">
        <v>-85</v>
      </c>
      <c r="D14">
        <v>0.76</v>
      </c>
      <c r="E14" t="s">
        <v>8</v>
      </c>
      <c r="F14" t="s">
        <v>73</v>
      </c>
    </row>
    <row r="15" spans="1:10" x14ac:dyDescent="0.2">
      <c r="A15">
        <v>10006</v>
      </c>
      <c r="B15">
        <v>54480</v>
      </c>
      <c r="C15">
        <v>-43</v>
      </c>
      <c r="D15">
        <v>0</v>
      </c>
      <c r="E15" t="s">
        <v>6</v>
      </c>
      <c r="F15" t="s">
        <v>74</v>
      </c>
    </row>
    <row r="16" spans="1:10" hidden="1" x14ac:dyDescent="0.2">
      <c r="A16">
        <v>10004</v>
      </c>
      <c r="B16">
        <v>54480</v>
      </c>
      <c r="C16">
        <v>-80</v>
      </c>
      <c r="D16">
        <v>0.53</v>
      </c>
      <c r="E16" t="s">
        <v>8</v>
      </c>
      <c r="F16" t="s">
        <v>74</v>
      </c>
    </row>
    <row r="17" spans="1:6" hidden="1" x14ac:dyDescent="0.2">
      <c r="A17">
        <v>10005</v>
      </c>
      <c r="B17">
        <v>54480</v>
      </c>
      <c r="C17">
        <v>-84</v>
      </c>
      <c r="D17">
        <v>0.77</v>
      </c>
      <c r="E17" t="s">
        <v>8</v>
      </c>
      <c r="F17" t="s">
        <v>74</v>
      </c>
    </row>
    <row r="18" spans="1:6" x14ac:dyDescent="0.2">
      <c r="A18">
        <v>10006</v>
      </c>
      <c r="B18">
        <v>54480</v>
      </c>
      <c r="C18">
        <v>-43</v>
      </c>
      <c r="D18">
        <v>0</v>
      </c>
      <c r="E18" t="s">
        <v>6</v>
      </c>
      <c r="F18" t="s">
        <v>75</v>
      </c>
    </row>
    <row r="19" spans="1:6" hidden="1" x14ac:dyDescent="0.2">
      <c r="A19">
        <v>10004</v>
      </c>
      <c r="B19">
        <v>54480</v>
      </c>
      <c r="C19">
        <v>-80</v>
      </c>
      <c r="D19">
        <v>0.5</v>
      </c>
      <c r="E19" t="s">
        <v>8</v>
      </c>
      <c r="F19" t="s">
        <v>75</v>
      </c>
    </row>
    <row r="20" spans="1:6" hidden="1" x14ac:dyDescent="0.2">
      <c r="A20">
        <v>10005</v>
      </c>
      <c r="B20">
        <v>54480</v>
      </c>
      <c r="C20">
        <v>-85</v>
      </c>
      <c r="D20">
        <v>0.8</v>
      </c>
      <c r="E20" t="s">
        <v>8</v>
      </c>
      <c r="F20" t="s">
        <v>75</v>
      </c>
    </row>
    <row r="21" spans="1:6" hidden="1" x14ac:dyDescent="0.2">
      <c r="A21">
        <v>10004</v>
      </c>
      <c r="B21">
        <v>54480</v>
      </c>
      <c r="C21">
        <v>0</v>
      </c>
      <c r="D21">
        <v>-1</v>
      </c>
      <c r="F21" t="s">
        <v>76</v>
      </c>
    </row>
    <row r="22" spans="1:6" x14ac:dyDescent="0.2">
      <c r="A22">
        <v>10006</v>
      </c>
      <c r="B22">
        <v>54480</v>
      </c>
      <c r="C22">
        <v>-43</v>
      </c>
      <c r="D22">
        <v>0</v>
      </c>
      <c r="E22" t="s">
        <v>6</v>
      </c>
      <c r="F22" t="s">
        <v>76</v>
      </c>
    </row>
    <row r="23" spans="1:6" hidden="1" x14ac:dyDescent="0.2">
      <c r="A23">
        <v>10005</v>
      </c>
      <c r="B23">
        <v>54480</v>
      </c>
      <c r="C23">
        <v>-85</v>
      </c>
      <c r="D23">
        <v>0.82</v>
      </c>
      <c r="E23" t="s">
        <v>8</v>
      </c>
      <c r="F23" t="s">
        <v>76</v>
      </c>
    </row>
    <row r="24" spans="1:6" x14ac:dyDescent="0.2">
      <c r="A24">
        <v>10006</v>
      </c>
      <c r="B24">
        <v>54480</v>
      </c>
      <c r="C24">
        <v>0</v>
      </c>
      <c r="D24">
        <v>-1</v>
      </c>
      <c r="F24" t="s">
        <v>77</v>
      </c>
    </row>
    <row r="25" spans="1:6" hidden="1" x14ac:dyDescent="0.2">
      <c r="A25">
        <v>10004</v>
      </c>
      <c r="B25">
        <v>54480</v>
      </c>
      <c r="C25">
        <v>-81</v>
      </c>
      <c r="D25">
        <v>0.51</v>
      </c>
      <c r="E25" t="s">
        <v>8</v>
      </c>
      <c r="F25" t="s">
        <v>77</v>
      </c>
    </row>
    <row r="26" spans="1:6" hidden="1" x14ac:dyDescent="0.2">
      <c r="A26">
        <v>10005</v>
      </c>
      <c r="B26">
        <v>54480</v>
      </c>
      <c r="C26">
        <v>-85</v>
      </c>
      <c r="D26">
        <v>0.83</v>
      </c>
      <c r="E26" t="s">
        <v>8</v>
      </c>
      <c r="F26" t="s">
        <v>77</v>
      </c>
    </row>
    <row r="27" spans="1:6" hidden="1" x14ac:dyDescent="0.2">
      <c r="A27">
        <v>10005</v>
      </c>
      <c r="B27">
        <v>54480</v>
      </c>
      <c r="C27">
        <v>0</v>
      </c>
      <c r="D27">
        <v>-1</v>
      </c>
      <c r="F27" t="s">
        <v>78</v>
      </c>
    </row>
    <row r="28" spans="1:6" x14ac:dyDescent="0.2">
      <c r="A28">
        <v>10006</v>
      </c>
      <c r="B28">
        <v>54480</v>
      </c>
      <c r="C28">
        <v>-43</v>
      </c>
      <c r="D28">
        <v>0</v>
      </c>
      <c r="E28" t="s">
        <v>6</v>
      </c>
      <c r="F28" t="s">
        <v>78</v>
      </c>
    </row>
    <row r="29" spans="1:6" hidden="1" x14ac:dyDescent="0.2">
      <c r="A29">
        <v>10004</v>
      </c>
      <c r="B29">
        <v>54480</v>
      </c>
      <c r="C29">
        <v>-88</v>
      </c>
      <c r="D29">
        <v>0.65</v>
      </c>
      <c r="E29" t="s">
        <v>8</v>
      </c>
      <c r="F29" t="s">
        <v>78</v>
      </c>
    </row>
    <row r="30" spans="1:6" hidden="1" x14ac:dyDescent="0.2">
      <c r="A30">
        <v>10004</v>
      </c>
      <c r="B30">
        <v>54480</v>
      </c>
      <c r="C30">
        <v>0</v>
      </c>
      <c r="D30">
        <v>-1</v>
      </c>
      <c r="F30" t="s">
        <v>79</v>
      </c>
    </row>
    <row r="31" spans="1:6" x14ac:dyDescent="0.2">
      <c r="A31">
        <v>10006</v>
      </c>
      <c r="B31">
        <v>54480</v>
      </c>
      <c r="C31">
        <v>-43</v>
      </c>
      <c r="D31">
        <v>0</v>
      </c>
      <c r="E31" t="s">
        <v>6</v>
      </c>
      <c r="F31" t="s">
        <v>79</v>
      </c>
    </row>
    <row r="32" spans="1:6" hidden="1" x14ac:dyDescent="0.2">
      <c r="A32">
        <v>10005</v>
      </c>
      <c r="B32">
        <v>54480</v>
      </c>
      <c r="C32">
        <v>-84</v>
      </c>
      <c r="D32">
        <v>0.82</v>
      </c>
      <c r="E32" t="s">
        <v>8</v>
      </c>
      <c r="F32" t="s">
        <v>79</v>
      </c>
    </row>
    <row r="33" spans="1:6" x14ac:dyDescent="0.2">
      <c r="A33">
        <v>10006</v>
      </c>
      <c r="B33">
        <v>54480</v>
      </c>
      <c r="C33">
        <v>0</v>
      </c>
      <c r="D33">
        <v>-1</v>
      </c>
      <c r="F33" t="s">
        <v>80</v>
      </c>
    </row>
    <row r="34" spans="1:6" hidden="1" x14ac:dyDescent="0.2">
      <c r="A34">
        <v>10005</v>
      </c>
      <c r="B34">
        <v>54480</v>
      </c>
      <c r="C34">
        <v>-80</v>
      </c>
      <c r="D34">
        <v>0.7</v>
      </c>
      <c r="E34" t="s">
        <v>8</v>
      </c>
      <c r="F34" t="s">
        <v>80</v>
      </c>
    </row>
    <row r="35" spans="1:6" hidden="1" x14ac:dyDescent="0.2">
      <c r="A35">
        <v>10004</v>
      </c>
      <c r="B35">
        <v>54480</v>
      </c>
      <c r="C35">
        <v>-89</v>
      </c>
      <c r="D35">
        <v>0.76</v>
      </c>
      <c r="E35" t="s">
        <v>8</v>
      </c>
      <c r="F35" t="s">
        <v>80</v>
      </c>
    </row>
    <row r="36" spans="1:6" hidden="1" x14ac:dyDescent="0.2">
      <c r="A36">
        <v>10005</v>
      </c>
      <c r="B36">
        <v>54480</v>
      </c>
      <c r="C36">
        <v>0</v>
      </c>
      <c r="D36">
        <v>-1</v>
      </c>
      <c r="F36" t="s">
        <v>81</v>
      </c>
    </row>
    <row r="37" spans="1:6" x14ac:dyDescent="0.2">
      <c r="A37">
        <v>10006</v>
      </c>
      <c r="B37">
        <v>54480</v>
      </c>
      <c r="C37">
        <v>-43</v>
      </c>
      <c r="D37">
        <v>0</v>
      </c>
      <c r="E37" t="s">
        <v>6</v>
      </c>
      <c r="F37" t="s">
        <v>81</v>
      </c>
    </row>
    <row r="38" spans="1:6" hidden="1" x14ac:dyDescent="0.2">
      <c r="A38">
        <v>10004</v>
      </c>
      <c r="B38">
        <v>54480</v>
      </c>
      <c r="C38">
        <v>-80</v>
      </c>
      <c r="D38">
        <v>0.65</v>
      </c>
      <c r="E38" t="s">
        <v>8</v>
      </c>
      <c r="F38" t="s">
        <v>81</v>
      </c>
    </row>
    <row r="39" spans="1:6" x14ac:dyDescent="0.2">
      <c r="A39">
        <v>10006</v>
      </c>
      <c r="B39">
        <v>54480</v>
      </c>
      <c r="C39">
        <v>-43</v>
      </c>
      <c r="D39">
        <v>0</v>
      </c>
      <c r="E39" t="s">
        <v>6</v>
      </c>
      <c r="F39" t="s">
        <v>82</v>
      </c>
    </row>
    <row r="40" spans="1:6" hidden="1" x14ac:dyDescent="0.2">
      <c r="A40">
        <v>10005</v>
      </c>
      <c r="B40">
        <v>54480</v>
      </c>
      <c r="C40">
        <v>-80</v>
      </c>
      <c r="D40">
        <v>0.64</v>
      </c>
      <c r="E40" t="s">
        <v>8</v>
      </c>
      <c r="F40" t="s">
        <v>82</v>
      </c>
    </row>
    <row r="41" spans="1:6" hidden="1" x14ac:dyDescent="0.2">
      <c r="A41">
        <v>10004</v>
      </c>
      <c r="B41">
        <v>54480</v>
      </c>
      <c r="C41">
        <v>-88</v>
      </c>
      <c r="D41">
        <v>0.73</v>
      </c>
      <c r="E41" t="s">
        <v>8</v>
      </c>
      <c r="F41" t="s">
        <v>82</v>
      </c>
    </row>
    <row r="42" spans="1:6" hidden="1" x14ac:dyDescent="0.2">
      <c r="A42">
        <v>10005</v>
      </c>
      <c r="B42">
        <v>54480</v>
      </c>
      <c r="C42">
        <v>0</v>
      </c>
      <c r="D42">
        <v>-1</v>
      </c>
      <c r="F42" t="s">
        <v>83</v>
      </c>
    </row>
    <row r="43" spans="1:6" x14ac:dyDescent="0.2">
      <c r="A43">
        <v>10006</v>
      </c>
      <c r="B43">
        <v>54480</v>
      </c>
      <c r="C43">
        <v>0</v>
      </c>
      <c r="D43">
        <v>-1</v>
      </c>
      <c r="F43" t="s">
        <v>83</v>
      </c>
    </row>
    <row r="44" spans="1:6" hidden="1" x14ac:dyDescent="0.2">
      <c r="A44">
        <v>10004</v>
      </c>
      <c r="B44">
        <v>54480</v>
      </c>
      <c r="C44">
        <v>-81</v>
      </c>
      <c r="D44">
        <v>0.68</v>
      </c>
      <c r="E44" t="s">
        <v>8</v>
      </c>
      <c r="F44" t="s">
        <v>83</v>
      </c>
    </row>
    <row r="45" spans="1:6" hidden="1" x14ac:dyDescent="0.2">
      <c r="A45">
        <v>10005</v>
      </c>
      <c r="B45">
        <v>54480</v>
      </c>
      <c r="C45">
        <v>0</v>
      </c>
      <c r="D45">
        <v>-1</v>
      </c>
      <c r="F45" t="s">
        <v>84</v>
      </c>
    </row>
    <row r="46" spans="1:6" x14ac:dyDescent="0.2">
      <c r="A46">
        <v>10006</v>
      </c>
      <c r="B46">
        <v>54480</v>
      </c>
      <c r="C46">
        <v>-43</v>
      </c>
      <c r="D46">
        <v>0</v>
      </c>
      <c r="E46" t="s">
        <v>6</v>
      </c>
      <c r="F46" t="s">
        <v>84</v>
      </c>
    </row>
    <row r="47" spans="1:6" hidden="1" x14ac:dyDescent="0.2">
      <c r="A47">
        <v>10004</v>
      </c>
      <c r="B47">
        <v>54480</v>
      </c>
      <c r="C47">
        <v>-81</v>
      </c>
      <c r="D47">
        <v>0.65</v>
      </c>
      <c r="E47" t="s">
        <v>8</v>
      </c>
      <c r="F47" t="s">
        <v>84</v>
      </c>
    </row>
    <row r="48" spans="1:6" x14ac:dyDescent="0.2">
      <c r="A48">
        <v>10006</v>
      </c>
      <c r="B48">
        <v>54480</v>
      </c>
      <c r="C48">
        <v>-43</v>
      </c>
      <c r="D48">
        <v>0</v>
      </c>
      <c r="E48" t="s">
        <v>6</v>
      </c>
      <c r="F48" t="s">
        <v>85</v>
      </c>
    </row>
    <row r="49" spans="1:6" hidden="1" x14ac:dyDescent="0.2">
      <c r="A49">
        <v>10005</v>
      </c>
      <c r="B49">
        <v>54480</v>
      </c>
      <c r="C49">
        <v>-82</v>
      </c>
      <c r="D49">
        <v>0.63</v>
      </c>
      <c r="E49" t="s">
        <v>8</v>
      </c>
      <c r="F49" t="s">
        <v>85</v>
      </c>
    </row>
    <row r="50" spans="1:6" hidden="1" x14ac:dyDescent="0.2">
      <c r="A50">
        <v>10004</v>
      </c>
      <c r="B50">
        <v>54480</v>
      </c>
      <c r="C50">
        <v>-83</v>
      </c>
      <c r="D50">
        <v>0.65</v>
      </c>
      <c r="E50" t="s">
        <v>8</v>
      </c>
      <c r="F50" t="s">
        <v>85</v>
      </c>
    </row>
    <row r="51" spans="1:6" x14ac:dyDescent="0.2">
      <c r="A51">
        <v>10006</v>
      </c>
      <c r="B51">
        <v>54480</v>
      </c>
      <c r="C51">
        <v>-43</v>
      </c>
      <c r="D51">
        <v>0</v>
      </c>
      <c r="E51" t="s">
        <v>6</v>
      </c>
      <c r="F51" t="s">
        <v>86</v>
      </c>
    </row>
    <row r="52" spans="1:6" hidden="1" x14ac:dyDescent="0.2">
      <c r="A52">
        <v>10005</v>
      </c>
      <c r="B52">
        <v>54480</v>
      </c>
      <c r="C52">
        <v>-79</v>
      </c>
      <c r="D52">
        <v>0.53</v>
      </c>
      <c r="E52" t="s">
        <v>8</v>
      </c>
      <c r="F52" t="s">
        <v>86</v>
      </c>
    </row>
    <row r="53" spans="1:6" hidden="1" x14ac:dyDescent="0.2">
      <c r="A53">
        <v>10004</v>
      </c>
      <c r="B53">
        <v>54480</v>
      </c>
      <c r="C53">
        <v>-83</v>
      </c>
      <c r="D53">
        <v>0.66</v>
      </c>
      <c r="E53" t="s">
        <v>8</v>
      </c>
      <c r="F53" t="s">
        <v>86</v>
      </c>
    </row>
    <row r="54" spans="1:6" x14ac:dyDescent="0.2">
      <c r="A54">
        <v>10006</v>
      </c>
      <c r="B54">
        <v>54480</v>
      </c>
      <c r="C54">
        <v>-43</v>
      </c>
      <c r="D54">
        <v>0</v>
      </c>
      <c r="E54" t="s">
        <v>6</v>
      </c>
      <c r="F54" t="s">
        <v>87</v>
      </c>
    </row>
    <row r="55" spans="1:6" hidden="1" x14ac:dyDescent="0.2">
      <c r="A55">
        <v>10005</v>
      </c>
      <c r="B55">
        <v>54480</v>
      </c>
      <c r="C55">
        <v>-79</v>
      </c>
      <c r="D55">
        <v>0.49</v>
      </c>
      <c r="E55" t="s">
        <v>8</v>
      </c>
      <c r="F55" t="s">
        <v>87</v>
      </c>
    </row>
    <row r="56" spans="1:6" hidden="1" x14ac:dyDescent="0.2">
      <c r="A56">
        <v>10004</v>
      </c>
      <c r="B56">
        <v>54480</v>
      </c>
      <c r="C56">
        <v>-92</v>
      </c>
      <c r="D56">
        <v>0.74</v>
      </c>
      <c r="E56" t="s">
        <v>8</v>
      </c>
      <c r="F56" t="s">
        <v>87</v>
      </c>
    </row>
    <row r="57" spans="1:6" hidden="1" x14ac:dyDescent="0.2">
      <c r="A57">
        <v>10004</v>
      </c>
      <c r="B57">
        <v>54480</v>
      </c>
      <c r="C57">
        <v>0</v>
      </c>
      <c r="D57">
        <v>-1</v>
      </c>
      <c r="F57" t="s">
        <v>88</v>
      </c>
    </row>
    <row r="58" spans="1:6" x14ac:dyDescent="0.2">
      <c r="A58">
        <v>10006</v>
      </c>
      <c r="B58">
        <v>54480</v>
      </c>
      <c r="C58">
        <v>-43</v>
      </c>
      <c r="D58">
        <v>0</v>
      </c>
      <c r="E58" t="s">
        <v>6</v>
      </c>
      <c r="F58" t="s">
        <v>88</v>
      </c>
    </row>
    <row r="59" spans="1:6" hidden="1" x14ac:dyDescent="0.2">
      <c r="A59">
        <v>10005</v>
      </c>
      <c r="B59">
        <v>54480</v>
      </c>
      <c r="C59">
        <v>-78</v>
      </c>
      <c r="D59">
        <v>0.45</v>
      </c>
      <c r="E59" t="s">
        <v>8</v>
      </c>
      <c r="F59" t="s">
        <v>88</v>
      </c>
    </row>
    <row r="60" spans="1:6" hidden="1" x14ac:dyDescent="0.2">
      <c r="A60">
        <v>10004</v>
      </c>
      <c r="B60">
        <v>54480</v>
      </c>
      <c r="C60">
        <v>0</v>
      </c>
      <c r="D60">
        <v>-1</v>
      </c>
      <c r="F60" t="s">
        <v>89</v>
      </c>
    </row>
    <row r="61" spans="1:6" x14ac:dyDescent="0.2">
      <c r="A61">
        <v>10006</v>
      </c>
      <c r="B61">
        <v>54480</v>
      </c>
      <c r="C61">
        <v>-43</v>
      </c>
      <c r="D61">
        <v>0</v>
      </c>
      <c r="E61" t="s">
        <v>6</v>
      </c>
      <c r="F61" t="s">
        <v>89</v>
      </c>
    </row>
    <row r="62" spans="1:6" hidden="1" x14ac:dyDescent="0.2">
      <c r="A62">
        <v>10005</v>
      </c>
      <c r="B62">
        <v>54480</v>
      </c>
      <c r="C62">
        <v>-80</v>
      </c>
      <c r="D62">
        <v>0.46</v>
      </c>
      <c r="E62" t="s">
        <v>8</v>
      </c>
      <c r="F62" t="s">
        <v>89</v>
      </c>
    </row>
    <row r="63" spans="1:6" x14ac:dyDescent="0.2">
      <c r="A63">
        <v>10006</v>
      </c>
      <c r="B63">
        <v>54480</v>
      </c>
      <c r="C63">
        <v>-43</v>
      </c>
      <c r="D63">
        <v>0</v>
      </c>
      <c r="E63" t="s">
        <v>6</v>
      </c>
      <c r="F63" t="s">
        <v>90</v>
      </c>
    </row>
    <row r="64" spans="1:6" hidden="1" x14ac:dyDescent="0.2">
      <c r="A64">
        <v>10005</v>
      </c>
      <c r="B64">
        <v>54480</v>
      </c>
      <c r="C64">
        <v>-81</v>
      </c>
      <c r="D64">
        <v>0.47</v>
      </c>
      <c r="E64" t="s">
        <v>8</v>
      </c>
      <c r="F64" t="s">
        <v>90</v>
      </c>
    </row>
    <row r="65" spans="1:6" hidden="1" x14ac:dyDescent="0.2">
      <c r="A65">
        <v>10004</v>
      </c>
      <c r="B65">
        <v>54480</v>
      </c>
      <c r="C65">
        <v>-89</v>
      </c>
      <c r="D65">
        <v>0.8</v>
      </c>
      <c r="E65" t="s">
        <v>8</v>
      </c>
      <c r="F65" t="s">
        <v>90</v>
      </c>
    </row>
    <row r="66" spans="1:6" x14ac:dyDescent="0.2">
      <c r="A66">
        <v>10006</v>
      </c>
      <c r="B66">
        <v>54480</v>
      </c>
      <c r="C66">
        <v>-43</v>
      </c>
      <c r="D66">
        <v>0</v>
      </c>
      <c r="E66" t="s">
        <v>6</v>
      </c>
      <c r="F66" t="s">
        <v>91</v>
      </c>
    </row>
    <row r="67" spans="1:6" hidden="1" x14ac:dyDescent="0.2">
      <c r="A67">
        <v>10005</v>
      </c>
      <c r="B67">
        <v>54480</v>
      </c>
      <c r="C67">
        <v>-77</v>
      </c>
      <c r="D67">
        <v>0.43</v>
      </c>
      <c r="E67" t="s">
        <v>8</v>
      </c>
      <c r="F67" t="s">
        <v>91</v>
      </c>
    </row>
    <row r="68" spans="1:6" hidden="1" x14ac:dyDescent="0.2">
      <c r="A68">
        <v>10004</v>
      </c>
      <c r="B68">
        <v>54480</v>
      </c>
      <c r="C68">
        <v>-89</v>
      </c>
      <c r="D68">
        <v>0.91</v>
      </c>
      <c r="E68" t="s">
        <v>8</v>
      </c>
      <c r="F68" t="s">
        <v>91</v>
      </c>
    </row>
    <row r="69" spans="1:6" x14ac:dyDescent="0.2">
      <c r="A69">
        <v>10006</v>
      </c>
      <c r="B69">
        <v>54480</v>
      </c>
      <c r="C69">
        <v>-43</v>
      </c>
      <c r="D69">
        <v>0</v>
      </c>
      <c r="E69" t="s">
        <v>6</v>
      </c>
      <c r="F69" t="s">
        <v>92</v>
      </c>
    </row>
    <row r="70" spans="1:6" hidden="1" x14ac:dyDescent="0.2">
      <c r="A70">
        <v>10005</v>
      </c>
      <c r="B70">
        <v>54480</v>
      </c>
      <c r="C70">
        <v>-77</v>
      </c>
      <c r="D70">
        <v>0.4</v>
      </c>
      <c r="E70" t="s">
        <v>8</v>
      </c>
      <c r="F70" t="s">
        <v>92</v>
      </c>
    </row>
    <row r="71" spans="1:6" hidden="1" x14ac:dyDescent="0.2">
      <c r="A71">
        <v>10004</v>
      </c>
      <c r="B71">
        <v>54480</v>
      </c>
      <c r="C71">
        <v>-88</v>
      </c>
      <c r="D71">
        <v>0.97</v>
      </c>
      <c r="E71" t="s">
        <v>8</v>
      </c>
      <c r="F71" t="s">
        <v>92</v>
      </c>
    </row>
    <row r="72" spans="1:6" x14ac:dyDescent="0.2">
      <c r="A72">
        <v>10006</v>
      </c>
      <c r="B72">
        <v>54480</v>
      </c>
      <c r="C72">
        <v>-43</v>
      </c>
      <c r="D72">
        <v>0</v>
      </c>
      <c r="E72" t="s">
        <v>6</v>
      </c>
      <c r="F72" t="s">
        <v>93</v>
      </c>
    </row>
    <row r="73" spans="1:6" hidden="1" x14ac:dyDescent="0.2">
      <c r="A73">
        <v>10005</v>
      </c>
      <c r="B73">
        <v>54480</v>
      </c>
      <c r="C73">
        <v>-75</v>
      </c>
      <c r="D73">
        <v>0.36</v>
      </c>
      <c r="E73" t="s">
        <v>8</v>
      </c>
      <c r="F73" t="s">
        <v>93</v>
      </c>
    </row>
    <row r="74" spans="1:6" hidden="1" x14ac:dyDescent="0.2">
      <c r="A74">
        <v>10004</v>
      </c>
      <c r="B74">
        <v>54480</v>
      </c>
      <c r="C74">
        <v>-88</v>
      </c>
      <c r="D74">
        <v>1.02</v>
      </c>
      <c r="E74" t="s">
        <v>8</v>
      </c>
      <c r="F74" t="s">
        <v>93</v>
      </c>
    </row>
    <row r="75" spans="1:6" hidden="1" x14ac:dyDescent="0.2">
      <c r="A75">
        <v>10004</v>
      </c>
      <c r="B75">
        <v>54480</v>
      </c>
      <c r="C75">
        <v>0</v>
      </c>
      <c r="D75">
        <v>-1</v>
      </c>
      <c r="F75" t="s">
        <v>94</v>
      </c>
    </row>
    <row r="76" spans="1:6" x14ac:dyDescent="0.2">
      <c r="A76">
        <v>10006</v>
      </c>
      <c r="B76">
        <v>54480</v>
      </c>
      <c r="C76">
        <v>-43</v>
      </c>
      <c r="D76">
        <v>0</v>
      </c>
      <c r="E76" t="s">
        <v>6</v>
      </c>
      <c r="F76" t="s">
        <v>94</v>
      </c>
    </row>
    <row r="77" spans="1:6" hidden="1" x14ac:dyDescent="0.2">
      <c r="A77">
        <v>10005</v>
      </c>
      <c r="B77">
        <v>54480</v>
      </c>
      <c r="C77">
        <v>-76</v>
      </c>
      <c r="D77">
        <v>0.34</v>
      </c>
      <c r="E77" t="s">
        <v>6</v>
      </c>
      <c r="F77" t="s">
        <v>94</v>
      </c>
    </row>
    <row r="78" spans="1:6" hidden="1" x14ac:dyDescent="0.2">
      <c r="A78">
        <v>10004</v>
      </c>
      <c r="B78">
        <v>54480</v>
      </c>
      <c r="C78">
        <v>0</v>
      </c>
      <c r="D78">
        <v>-1</v>
      </c>
      <c r="F78" t="s">
        <v>95</v>
      </c>
    </row>
    <row r="79" spans="1:6" x14ac:dyDescent="0.2">
      <c r="A79">
        <v>10006</v>
      </c>
      <c r="B79">
        <v>54480</v>
      </c>
      <c r="C79">
        <v>-43</v>
      </c>
      <c r="D79">
        <v>0</v>
      </c>
      <c r="E79" t="s">
        <v>6</v>
      </c>
      <c r="F79" t="s">
        <v>95</v>
      </c>
    </row>
    <row r="80" spans="1:6" hidden="1" x14ac:dyDescent="0.2">
      <c r="A80">
        <v>10005</v>
      </c>
      <c r="B80">
        <v>54480</v>
      </c>
      <c r="C80">
        <v>-81</v>
      </c>
      <c r="D80">
        <v>0.37</v>
      </c>
      <c r="E80" t="s">
        <v>6</v>
      </c>
      <c r="F80" t="s">
        <v>95</v>
      </c>
    </row>
    <row r="81" spans="1:6" x14ac:dyDescent="0.2">
      <c r="A81">
        <v>10006</v>
      </c>
      <c r="B81">
        <v>54480</v>
      </c>
      <c r="C81">
        <v>-43</v>
      </c>
      <c r="D81">
        <v>0</v>
      </c>
      <c r="E81" t="s">
        <v>6</v>
      </c>
      <c r="F81" t="s">
        <v>96</v>
      </c>
    </row>
    <row r="82" spans="1:6" hidden="1" x14ac:dyDescent="0.2">
      <c r="A82">
        <v>10005</v>
      </c>
      <c r="B82">
        <v>54480</v>
      </c>
      <c r="C82">
        <v>-80</v>
      </c>
      <c r="D82">
        <v>0.38</v>
      </c>
      <c r="E82" t="s">
        <v>8</v>
      </c>
      <c r="F82" t="s">
        <v>96</v>
      </c>
    </row>
    <row r="83" spans="1:6" hidden="1" x14ac:dyDescent="0.2">
      <c r="A83">
        <v>10004</v>
      </c>
      <c r="B83">
        <v>54480</v>
      </c>
      <c r="C83">
        <v>-88</v>
      </c>
      <c r="D83">
        <v>1.06</v>
      </c>
      <c r="E83" t="s">
        <v>8</v>
      </c>
      <c r="F83" t="s">
        <v>96</v>
      </c>
    </row>
    <row r="84" spans="1:6" x14ac:dyDescent="0.2">
      <c r="A84">
        <v>10006</v>
      </c>
      <c r="B84">
        <v>54480</v>
      </c>
      <c r="C84">
        <v>-43</v>
      </c>
      <c r="D84">
        <v>0</v>
      </c>
      <c r="E84" t="s">
        <v>6</v>
      </c>
      <c r="F84" t="s">
        <v>97</v>
      </c>
    </row>
    <row r="85" spans="1:6" hidden="1" x14ac:dyDescent="0.2">
      <c r="A85">
        <v>10005</v>
      </c>
      <c r="B85">
        <v>54480</v>
      </c>
      <c r="C85">
        <v>-80</v>
      </c>
      <c r="D85">
        <v>0.39</v>
      </c>
      <c r="E85" t="s">
        <v>8</v>
      </c>
      <c r="F85" t="s">
        <v>97</v>
      </c>
    </row>
    <row r="86" spans="1:6" hidden="1" x14ac:dyDescent="0.2">
      <c r="A86">
        <v>10004</v>
      </c>
      <c r="B86">
        <v>54480</v>
      </c>
      <c r="C86">
        <v>-88</v>
      </c>
      <c r="D86">
        <v>1.1100000000000001</v>
      </c>
      <c r="E86" t="s">
        <v>8</v>
      </c>
      <c r="F86" t="s">
        <v>97</v>
      </c>
    </row>
    <row r="87" spans="1:6" x14ac:dyDescent="0.2">
      <c r="A87">
        <v>10006</v>
      </c>
      <c r="B87">
        <v>54480</v>
      </c>
      <c r="C87">
        <v>-43</v>
      </c>
      <c r="D87">
        <v>0</v>
      </c>
      <c r="E87" t="s">
        <v>6</v>
      </c>
      <c r="F87" t="s">
        <v>98</v>
      </c>
    </row>
    <row r="88" spans="1:6" hidden="1" x14ac:dyDescent="0.2">
      <c r="A88">
        <v>10005</v>
      </c>
      <c r="B88">
        <v>54480</v>
      </c>
      <c r="C88">
        <v>-81</v>
      </c>
      <c r="D88">
        <v>0.42</v>
      </c>
      <c r="E88" t="s">
        <v>8</v>
      </c>
      <c r="F88" t="s">
        <v>98</v>
      </c>
    </row>
    <row r="89" spans="1:6" hidden="1" x14ac:dyDescent="0.2">
      <c r="A89">
        <v>10004</v>
      </c>
      <c r="B89">
        <v>54480</v>
      </c>
      <c r="C89">
        <v>-86</v>
      </c>
      <c r="D89">
        <v>1.08</v>
      </c>
      <c r="E89" t="s">
        <v>8</v>
      </c>
      <c r="F89" t="s">
        <v>98</v>
      </c>
    </row>
    <row r="90" spans="1:6" x14ac:dyDescent="0.2">
      <c r="A90">
        <v>10006</v>
      </c>
      <c r="B90">
        <v>54480</v>
      </c>
      <c r="C90">
        <v>-43</v>
      </c>
      <c r="D90">
        <v>0</v>
      </c>
      <c r="E90" t="s">
        <v>6</v>
      </c>
      <c r="F90" t="s">
        <v>99</v>
      </c>
    </row>
    <row r="91" spans="1:6" hidden="1" x14ac:dyDescent="0.2">
      <c r="A91">
        <v>10005</v>
      </c>
      <c r="B91">
        <v>54480</v>
      </c>
      <c r="C91">
        <v>-81</v>
      </c>
      <c r="D91">
        <v>0.43</v>
      </c>
      <c r="E91" t="s">
        <v>8</v>
      </c>
      <c r="F91" t="s">
        <v>99</v>
      </c>
    </row>
    <row r="92" spans="1:6" hidden="1" x14ac:dyDescent="0.2">
      <c r="A92">
        <v>10004</v>
      </c>
      <c r="B92">
        <v>54480</v>
      </c>
      <c r="C92">
        <v>-88</v>
      </c>
      <c r="D92">
        <v>1.1200000000000001</v>
      </c>
      <c r="E92" t="s">
        <v>8</v>
      </c>
      <c r="F92" t="s">
        <v>99</v>
      </c>
    </row>
    <row r="93" spans="1:6" hidden="1" x14ac:dyDescent="0.2">
      <c r="A93">
        <v>10004</v>
      </c>
      <c r="B93">
        <v>54480</v>
      </c>
      <c r="C93">
        <v>0</v>
      </c>
      <c r="D93">
        <v>-1</v>
      </c>
      <c r="F93" t="s">
        <v>100</v>
      </c>
    </row>
    <row r="94" spans="1:6" x14ac:dyDescent="0.2">
      <c r="A94">
        <v>10006</v>
      </c>
      <c r="B94">
        <v>54480</v>
      </c>
      <c r="C94">
        <v>-43</v>
      </c>
      <c r="D94">
        <v>0</v>
      </c>
      <c r="E94" t="s">
        <v>6</v>
      </c>
      <c r="F94" t="s">
        <v>100</v>
      </c>
    </row>
    <row r="95" spans="1:6" hidden="1" x14ac:dyDescent="0.2">
      <c r="A95">
        <v>10005</v>
      </c>
      <c r="B95">
        <v>54480</v>
      </c>
      <c r="C95">
        <v>-75</v>
      </c>
      <c r="D95">
        <v>0.38</v>
      </c>
      <c r="E95" t="s">
        <v>6</v>
      </c>
      <c r="F95" t="s">
        <v>100</v>
      </c>
    </row>
    <row r="96" spans="1:6" x14ac:dyDescent="0.2">
      <c r="A96">
        <v>10006</v>
      </c>
      <c r="B96">
        <v>54480</v>
      </c>
      <c r="C96">
        <v>-43</v>
      </c>
      <c r="D96">
        <v>0</v>
      </c>
      <c r="E96" t="s">
        <v>6</v>
      </c>
      <c r="F96" t="s">
        <v>101</v>
      </c>
    </row>
    <row r="97" spans="1:6" hidden="1" x14ac:dyDescent="0.2">
      <c r="A97">
        <v>10005</v>
      </c>
      <c r="B97">
        <v>54480</v>
      </c>
      <c r="C97">
        <v>-80</v>
      </c>
      <c r="D97">
        <v>0.39</v>
      </c>
      <c r="E97" t="s">
        <v>6</v>
      </c>
      <c r="F97" t="s">
        <v>101</v>
      </c>
    </row>
    <row r="98" spans="1:6" hidden="1" x14ac:dyDescent="0.2">
      <c r="A98">
        <v>10004</v>
      </c>
      <c r="B98">
        <v>54480</v>
      </c>
      <c r="C98">
        <v>-88</v>
      </c>
      <c r="D98">
        <v>1.1399999999999999</v>
      </c>
      <c r="E98" t="s">
        <v>8</v>
      </c>
      <c r="F98" t="s">
        <v>101</v>
      </c>
    </row>
    <row r="99" spans="1:6" x14ac:dyDescent="0.2">
      <c r="A99">
        <v>10006</v>
      </c>
      <c r="B99">
        <v>54480</v>
      </c>
      <c r="C99">
        <v>-44</v>
      </c>
      <c r="D99">
        <v>0</v>
      </c>
      <c r="E99" t="s">
        <v>6</v>
      </c>
      <c r="F99" t="s">
        <v>102</v>
      </c>
    </row>
    <row r="100" spans="1:6" hidden="1" x14ac:dyDescent="0.2">
      <c r="A100">
        <v>10005</v>
      </c>
      <c r="B100">
        <v>54480</v>
      </c>
      <c r="C100">
        <v>-75</v>
      </c>
      <c r="D100">
        <v>0.35</v>
      </c>
      <c r="E100" t="s">
        <v>6</v>
      </c>
      <c r="F100" t="s">
        <v>102</v>
      </c>
    </row>
    <row r="101" spans="1:6" hidden="1" x14ac:dyDescent="0.2">
      <c r="A101">
        <v>10004</v>
      </c>
      <c r="B101">
        <v>54480</v>
      </c>
      <c r="C101">
        <v>-86</v>
      </c>
      <c r="D101">
        <v>1.1100000000000001</v>
      </c>
      <c r="E101" t="s">
        <v>8</v>
      </c>
      <c r="F101" t="s">
        <v>102</v>
      </c>
    </row>
    <row r="102" spans="1:6" hidden="1" x14ac:dyDescent="0.2">
      <c r="A102">
        <v>10004</v>
      </c>
      <c r="B102">
        <v>54480</v>
      </c>
      <c r="C102">
        <v>0</v>
      </c>
      <c r="D102">
        <v>-1</v>
      </c>
      <c r="F102" t="s">
        <v>103</v>
      </c>
    </row>
    <row r="103" spans="1:6" hidden="1" x14ac:dyDescent="0.2">
      <c r="A103">
        <v>10005</v>
      </c>
      <c r="B103">
        <v>54480</v>
      </c>
      <c r="C103">
        <v>0</v>
      </c>
      <c r="D103">
        <v>-1</v>
      </c>
      <c r="F103" t="s">
        <v>103</v>
      </c>
    </row>
    <row r="104" spans="1:6" x14ac:dyDescent="0.2">
      <c r="A104">
        <v>10006</v>
      </c>
      <c r="B104">
        <v>54480</v>
      </c>
      <c r="C104">
        <v>-43</v>
      </c>
      <c r="D104">
        <v>0</v>
      </c>
      <c r="E104" t="s">
        <v>6</v>
      </c>
      <c r="F104" t="s">
        <v>103</v>
      </c>
    </row>
    <row r="105" spans="1:6" x14ac:dyDescent="0.2">
      <c r="A105">
        <v>10006</v>
      </c>
      <c r="B105">
        <v>54480</v>
      </c>
      <c r="C105">
        <v>-43</v>
      </c>
      <c r="D105">
        <v>0</v>
      </c>
      <c r="E105" t="s">
        <v>6</v>
      </c>
      <c r="F105" t="s">
        <v>104</v>
      </c>
    </row>
    <row r="106" spans="1:6" hidden="1" x14ac:dyDescent="0.2">
      <c r="A106">
        <v>10005</v>
      </c>
      <c r="B106">
        <v>54480</v>
      </c>
      <c r="C106">
        <v>-75</v>
      </c>
      <c r="D106">
        <v>0.32</v>
      </c>
      <c r="E106" t="s">
        <v>6</v>
      </c>
      <c r="F106" t="s">
        <v>104</v>
      </c>
    </row>
    <row r="107" spans="1:6" hidden="1" x14ac:dyDescent="0.2">
      <c r="A107">
        <v>10004</v>
      </c>
      <c r="B107">
        <v>54480</v>
      </c>
      <c r="C107">
        <v>-86</v>
      </c>
      <c r="D107">
        <v>1.0900000000000001</v>
      </c>
      <c r="E107" t="s">
        <v>8</v>
      </c>
      <c r="F107" t="s">
        <v>104</v>
      </c>
    </row>
    <row r="108" spans="1:6" hidden="1" x14ac:dyDescent="0.2">
      <c r="A108">
        <v>10004</v>
      </c>
      <c r="B108">
        <v>54480</v>
      </c>
      <c r="C108">
        <v>0</v>
      </c>
      <c r="D108">
        <v>-1</v>
      </c>
      <c r="F108" t="s">
        <v>105</v>
      </c>
    </row>
    <row r="109" spans="1:6" x14ac:dyDescent="0.2">
      <c r="A109">
        <v>10006</v>
      </c>
      <c r="B109">
        <v>54480</v>
      </c>
      <c r="C109">
        <v>0</v>
      </c>
      <c r="D109">
        <v>-1</v>
      </c>
      <c r="F109" t="s">
        <v>105</v>
      </c>
    </row>
    <row r="110" spans="1:6" hidden="1" x14ac:dyDescent="0.2">
      <c r="A110">
        <v>10005</v>
      </c>
      <c r="B110">
        <v>54480</v>
      </c>
      <c r="C110">
        <v>-80</v>
      </c>
      <c r="D110">
        <v>0.36</v>
      </c>
      <c r="E110" t="s">
        <v>6</v>
      </c>
      <c r="F110" t="s">
        <v>105</v>
      </c>
    </row>
    <row r="111" spans="1:6" hidden="1" x14ac:dyDescent="0.2">
      <c r="A111">
        <v>10004</v>
      </c>
      <c r="B111">
        <v>54480</v>
      </c>
      <c r="C111">
        <v>0</v>
      </c>
      <c r="D111">
        <v>-1</v>
      </c>
      <c r="F111" t="s">
        <v>106</v>
      </c>
    </row>
    <row r="112" spans="1:6" x14ac:dyDescent="0.2">
      <c r="A112">
        <v>10006</v>
      </c>
      <c r="B112">
        <v>54480</v>
      </c>
      <c r="C112">
        <v>0</v>
      </c>
      <c r="D112">
        <v>-1</v>
      </c>
      <c r="F112" t="s">
        <v>106</v>
      </c>
    </row>
    <row r="113" spans="1:6" hidden="1" x14ac:dyDescent="0.2">
      <c r="A113">
        <v>10005</v>
      </c>
      <c r="B113">
        <v>54480</v>
      </c>
      <c r="C113">
        <v>-75</v>
      </c>
      <c r="D113">
        <v>0.32</v>
      </c>
      <c r="E113" t="s">
        <v>8</v>
      </c>
      <c r="F113" t="s">
        <v>106</v>
      </c>
    </row>
    <row r="114" spans="1:6" x14ac:dyDescent="0.2">
      <c r="A114">
        <v>10006</v>
      </c>
      <c r="B114">
        <v>54480</v>
      </c>
      <c r="C114">
        <v>-43</v>
      </c>
      <c r="D114">
        <v>0</v>
      </c>
      <c r="E114" t="s">
        <v>6</v>
      </c>
      <c r="F114" t="s">
        <v>107</v>
      </c>
    </row>
    <row r="115" spans="1:6" hidden="1" x14ac:dyDescent="0.2">
      <c r="A115">
        <v>10005</v>
      </c>
      <c r="B115">
        <v>54480</v>
      </c>
      <c r="C115">
        <v>-80</v>
      </c>
      <c r="D115">
        <v>0.34</v>
      </c>
      <c r="E115" t="s">
        <v>8</v>
      </c>
      <c r="F115" t="s">
        <v>107</v>
      </c>
    </row>
    <row r="116" spans="1:6" hidden="1" x14ac:dyDescent="0.2">
      <c r="A116">
        <v>10004</v>
      </c>
      <c r="B116">
        <v>54480</v>
      </c>
      <c r="C116">
        <v>-89</v>
      </c>
      <c r="D116">
        <v>1.1499999999999999</v>
      </c>
      <c r="E116" t="s">
        <v>8</v>
      </c>
      <c r="F116" t="s">
        <v>107</v>
      </c>
    </row>
    <row r="117" spans="1:6" hidden="1" x14ac:dyDescent="0.2">
      <c r="A117">
        <v>10005</v>
      </c>
      <c r="B117">
        <v>54480</v>
      </c>
      <c r="C117">
        <v>0</v>
      </c>
      <c r="D117">
        <v>-1</v>
      </c>
      <c r="F117" t="s">
        <v>108</v>
      </c>
    </row>
    <row r="118" spans="1:6" x14ac:dyDescent="0.2">
      <c r="A118">
        <v>10006</v>
      </c>
      <c r="B118">
        <v>54480</v>
      </c>
      <c r="C118">
        <v>-43</v>
      </c>
      <c r="D118">
        <v>0</v>
      </c>
      <c r="E118" t="s">
        <v>6</v>
      </c>
      <c r="F118" t="s">
        <v>108</v>
      </c>
    </row>
    <row r="119" spans="1:6" hidden="1" x14ac:dyDescent="0.2">
      <c r="A119">
        <v>10004</v>
      </c>
      <c r="B119">
        <v>54480</v>
      </c>
      <c r="C119">
        <v>-89</v>
      </c>
      <c r="D119">
        <v>1.21</v>
      </c>
      <c r="E119" t="s">
        <v>8</v>
      </c>
      <c r="F119" t="s">
        <v>108</v>
      </c>
    </row>
    <row r="120" spans="1:6" hidden="1" x14ac:dyDescent="0.2">
      <c r="A120">
        <v>10004</v>
      </c>
      <c r="B120">
        <v>54480</v>
      </c>
      <c r="C120">
        <v>0</v>
      </c>
      <c r="D120">
        <v>-1</v>
      </c>
      <c r="F120" t="s">
        <v>109</v>
      </c>
    </row>
    <row r="121" spans="1:6" hidden="1" x14ac:dyDescent="0.2">
      <c r="A121">
        <v>10005</v>
      </c>
      <c r="B121">
        <v>54480</v>
      </c>
      <c r="C121">
        <v>0</v>
      </c>
      <c r="D121">
        <v>-1</v>
      </c>
      <c r="F121" t="s">
        <v>109</v>
      </c>
    </row>
    <row r="122" spans="1:6" x14ac:dyDescent="0.2">
      <c r="A122">
        <v>10006</v>
      </c>
      <c r="B122">
        <v>54480</v>
      </c>
      <c r="C122">
        <v>-43</v>
      </c>
      <c r="D122">
        <v>0</v>
      </c>
      <c r="E122" t="s">
        <v>6</v>
      </c>
      <c r="F122" t="s">
        <v>109</v>
      </c>
    </row>
    <row r="123" spans="1:6" hidden="1" x14ac:dyDescent="0.2">
      <c r="A123">
        <v>10005</v>
      </c>
      <c r="B123">
        <v>54480</v>
      </c>
      <c r="C123">
        <v>0</v>
      </c>
      <c r="D123">
        <v>-1</v>
      </c>
      <c r="F123" t="s">
        <v>110</v>
      </c>
    </row>
    <row r="124" spans="1:6" x14ac:dyDescent="0.2">
      <c r="A124">
        <v>10006</v>
      </c>
      <c r="B124">
        <v>54480</v>
      </c>
      <c r="C124">
        <v>-43</v>
      </c>
      <c r="D124">
        <v>0</v>
      </c>
      <c r="E124" t="s">
        <v>6</v>
      </c>
      <c r="F124" t="s">
        <v>110</v>
      </c>
    </row>
    <row r="125" spans="1:6" hidden="1" x14ac:dyDescent="0.2">
      <c r="A125">
        <v>10004</v>
      </c>
      <c r="B125">
        <v>54480</v>
      </c>
      <c r="C125">
        <v>-88</v>
      </c>
      <c r="D125">
        <v>1.23</v>
      </c>
      <c r="E125" t="s">
        <v>8</v>
      </c>
      <c r="F125" t="s">
        <v>110</v>
      </c>
    </row>
    <row r="126" spans="1:6" hidden="1" x14ac:dyDescent="0.2">
      <c r="A126">
        <v>10005</v>
      </c>
      <c r="B126">
        <v>54480</v>
      </c>
      <c r="C126">
        <v>0</v>
      </c>
      <c r="D126">
        <v>-1</v>
      </c>
      <c r="F126" t="s">
        <v>111</v>
      </c>
    </row>
    <row r="127" spans="1:6" x14ac:dyDescent="0.2">
      <c r="A127">
        <v>10006</v>
      </c>
      <c r="B127">
        <v>54480</v>
      </c>
      <c r="C127">
        <v>-43</v>
      </c>
      <c r="D127">
        <v>0</v>
      </c>
      <c r="E127" t="s">
        <v>6</v>
      </c>
      <c r="F127" t="s">
        <v>111</v>
      </c>
    </row>
    <row r="128" spans="1:6" hidden="1" x14ac:dyDescent="0.2">
      <c r="A128">
        <v>10004</v>
      </c>
      <c r="B128">
        <v>54480</v>
      </c>
      <c r="C128">
        <v>-88</v>
      </c>
      <c r="D128">
        <v>1.24</v>
      </c>
      <c r="E128" t="s">
        <v>8</v>
      </c>
      <c r="F128" t="s">
        <v>111</v>
      </c>
    </row>
    <row r="129" spans="1:6" x14ac:dyDescent="0.2">
      <c r="A129">
        <v>10006</v>
      </c>
      <c r="B129">
        <v>54480</v>
      </c>
      <c r="C129">
        <v>-43</v>
      </c>
      <c r="D129">
        <v>0</v>
      </c>
      <c r="E129" t="s">
        <v>6</v>
      </c>
      <c r="F129" t="s">
        <v>112</v>
      </c>
    </row>
    <row r="130" spans="1:6" hidden="1" x14ac:dyDescent="0.2">
      <c r="A130">
        <v>10005</v>
      </c>
      <c r="B130">
        <v>54480</v>
      </c>
      <c r="C130">
        <v>-81</v>
      </c>
      <c r="D130">
        <v>0.37</v>
      </c>
      <c r="E130" t="s">
        <v>8</v>
      </c>
      <c r="F130" t="s">
        <v>112</v>
      </c>
    </row>
    <row r="131" spans="1:6" hidden="1" x14ac:dyDescent="0.2">
      <c r="A131">
        <v>10004</v>
      </c>
      <c r="B131">
        <v>54480</v>
      </c>
      <c r="C131">
        <v>-88</v>
      </c>
      <c r="D131">
        <v>1.25</v>
      </c>
      <c r="E131" t="s">
        <v>8</v>
      </c>
      <c r="F131" t="s">
        <v>112</v>
      </c>
    </row>
    <row r="132" spans="1:6" x14ac:dyDescent="0.2">
      <c r="A132">
        <v>10006</v>
      </c>
      <c r="B132">
        <v>54480</v>
      </c>
      <c r="C132">
        <v>-43</v>
      </c>
      <c r="D132">
        <v>0</v>
      </c>
      <c r="E132" t="s">
        <v>6</v>
      </c>
      <c r="F132" t="s">
        <v>113</v>
      </c>
    </row>
    <row r="133" spans="1:6" hidden="1" x14ac:dyDescent="0.2">
      <c r="A133">
        <v>10005</v>
      </c>
      <c r="B133">
        <v>54480</v>
      </c>
      <c r="C133">
        <v>-81</v>
      </c>
      <c r="D133">
        <v>0.45</v>
      </c>
      <c r="E133" t="s">
        <v>8</v>
      </c>
      <c r="F133" t="s">
        <v>113</v>
      </c>
    </row>
    <row r="134" spans="1:6" hidden="1" x14ac:dyDescent="0.2">
      <c r="A134">
        <v>10004</v>
      </c>
      <c r="B134">
        <v>54480</v>
      </c>
      <c r="C134">
        <v>-88</v>
      </c>
      <c r="D134">
        <v>1.26</v>
      </c>
      <c r="E134" t="s">
        <v>8</v>
      </c>
      <c r="F134" t="s">
        <v>113</v>
      </c>
    </row>
    <row r="135" spans="1:6" x14ac:dyDescent="0.2">
      <c r="A135">
        <v>10006</v>
      </c>
      <c r="B135">
        <v>54480</v>
      </c>
      <c r="C135">
        <v>-43</v>
      </c>
      <c r="D135">
        <v>0</v>
      </c>
      <c r="E135" t="s">
        <v>6</v>
      </c>
      <c r="F135" t="s">
        <v>114</v>
      </c>
    </row>
    <row r="136" spans="1:6" hidden="1" x14ac:dyDescent="0.2">
      <c r="A136">
        <v>10005</v>
      </c>
      <c r="B136">
        <v>54480</v>
      </c>
      <c r="C136">
        <v>-81</v>
      </c>
      <c r="D136">
        <v>0.48</v>
      </c>
      <c r="E136" t="s">
        <v>8</v>
      </c>
      <c r="F136" t="s">
        <v>114</v>
      </c>
    </row>
    <row r="137" spans="1:6" hidden="1" x14ac:dyDescent="0.2">
      <c r="A137">
        <v>10004</v>
      </c>
      <c r="B137">
        <v>54480</v>
      </c>
      <c r="C137">
        <v>-88</v>
      </c>
      <c r="D137">
        <v>1.26</v>
      </c>
      <c r="E137" t="s">
        <v>8</v>
      </c>
      <c r="F137" t="s">
        <v>114</v>
      </c>
    </row>
    <row r="138" spans="1:6" hidden="1" x14ac:dyDescent="0.2">
      <c r="A138">
        <v>10004</v>
      </c>
      <c r="B138">
        <v>54480</v>
      </c>
      <c r="C138">
        <v>0</v>
      </c>
      <c r="D138">
        <v>-1</v>
      </c>
      <c r="F138" t="s">
        <v>115</v>
      </c>
    </row>
    <row r="139" spans="1:6" x14ac:dyDescent="0.2">
      <c r="A139">
        <v>10006</v>
      </c>
      <c r="B139">
        <v>54480</v>
      </c>
      <c r="C139">
        <v>-43</v>
      </c>
      <c r="D139">
        <v>0</v>
      </c>
      <c r="E139" t="s">
        <v>6</v>
      </c>
      <c r="F139" t="s">
        <v>115</v>
      </c>
    </row>
    <row r="140" spans="1:6" hidden="1" x14ac:dyDescent="0.2">
      <c r="A140">
        <v>10005</v>
      </c>
      <c r="B140">
        <v>54480</v>
      </c>
      <c r="C140">
        <v>-82</v>
      </c>
      <c r="D140">
        <v>0.51</v>
      </c>
      <c r="E140" t="s">
        <v>8</v>
      </c>
      <c r="F140" t="s">
        <v>115</v>
      </c>
    </row>
    <row r="141" spans="1:6" hidden="1" x14ac:dyDescent="0.2">
      <c r="A141">
        <v>10004</v>
      </c>
      <c r="B141">
        <v>54480</v>
      </c>
      <c r="C141">
        <v>0</v>
      </c>
      <c r="D141">
        <v>-1</v>
      </c>
      <c r="F141" t="s">
        <v>116</v>
      </c>
    </row>
    <row r="142" spans="1:6" x14ac:dyDescent="0.2">
      <c r="A142">
        <v>10006</v>
      </c>
      <c r="B142">
        <v>54480</v>
      </c>
      <c r="C142">
        <v>-43</v>
      </c>
      <c r="D142">
        <v>0</v>
      </c>
      <c r="E142" t="s">
        <v>6</v>
      </c>
      <c r="F142" t="s">
        <v>116</v>
      </c>
    </row>
    <row r="143" spans="1:6" hidden="1" x14ac:dyDescent="0.2">
      <c r="A143">
        <v>10005</v>
      </c>
      <c r="B143">
        <v>54480</v>
      </c>
      <c r="C143">
        <v>-75</v>
      </c>
      <c r="D143">
        <v>0.4</v>
      </c>
      <c r="E143" t="s">
        <v>8</v>
      </c>
      <c r="F143" t="s">
        <v>116</v>
      </c>
    </row>
    <row r="144" spans="1:6" x14ac:dyDescent="0.2">
      <c r="A144">
        <v>10006</v>
      </c>
      <c r="B144">
        <v>54480</v>
      </c>
      <c r="C144">
        <v>-43</v>
      </c>
      <c r="D144">
        <v>0</v>
      </c>
      <c r="E144" t="s">
        <v>6</v>
      </c>
      <c r="F144" t="s">
        <v>117</v>
      </c>
    </row>
    <row r="145" spans="1:6" hidden="1" x14ac:dyDescent="0.2">
      <c r="A145">
        <v>10005</v>
      </c>
      <c r="B145">
        <v>54480</v>
      </c>
      <c r="C145">
        <v>-75</v>
      </c>
      <c r="D145">
        <v>0.35</v>
      </c>
      <c r="E145" t="s">
        <v>6</v>
      </c>
      <c r="F145" t="s">
        <v>117</v>
      </c>
    </row>
    <row r="146" spans="1:6" hidden="1" x14ac:dyDescent="0.2">
      <c r="A146">
        <v>10004</v>
      </c>
      <c r="B146">
        <v>54480</v>
      </c>
      <c r="C146">
        <v>-86</v>
      </c>
      <c r="D146">
        <v>1.22</v>
      </c>
      <c r="E146" t="s">
        <v>8</v>
      </c>
      <c r="F146" t="s">
        <v>117</v>
      </c>
    </row>
    <row r="147" spans="1:6" x14ac:dyDescent="0.2">
      <c r="A147">
        <v>10006</v>
      </c>
      <c r="B147">
        <v>54480</v>
      </c>
      <c r="C147">
        <v>-43</v>
      </c>
      <c r="D147">
        <v>0</v>
      </c>
      <c r="E147" t="s">
        <v>6</v>
      </c>
      <c r="F147" t="s">
        <v>118</v>
      </c>
    </row>
    <row r="148" spans="1:6" hidden="1" x14ac:dyDescent="0.2">
      <c r="A148">
        <v>10005</v>
      </c>
      <c r="B148">
        <v>54480</v>
      </c>
      <c r="C148">
        <v>-81</v>
      </c>
      <c r="D148">
        <v>0.38</v>
      </c>
      <c r="E148" t="s">
        <v>6</v>
      </c>
      <c r="F148" t="s">
        <v>118</v>
      </c>
    </row>
    <row r="149" spans="1:6" hidden="1" x14ac:dyDescent="0.2">
      <c r="A149">
        <v>10004</v>
      </c>
      <c r="B149">
        <v>54480</v>
      </c>
      <c r="C149">
        <v>-87</v>
      </c>
      <c r="D149">
        <v>1.2</v>
      </c>
      <c r="E149" t="s">
        <v>8</v>
      </c>
      <c r="F149" t="s">
        <v>118</v>
      </c>
    </row>
    <row r="150" spans="1:6" x14ac:dyDescent="0.2">
      <c r="A150">
        <v>10006</v>
      </c>
      <c r="B150">
        <v>54480</v>
      </c>
      <c r="C150">
        <v>-43</v>
      </c>
      <c r="D150">
        <v>0</v>
      </c>
      <c r="E150" t="s">
        <v>6</v>
      </c>
      <c r="F150" t="s">
        <v>119</v>
      </c>
    </row>
    <row r="151" spans="1:6" hidden="1" x14ac:dyDescent="0.2">
      <c r="A151">
        <v>10005</v>
      </c>
      <c r="B151">
        <v>54480</v>
      </c>
      <c r="C151">
        <v>-81</v>
      </c>
      <c r="D151">
        <v>0.4</v>
      </c>
      <c r="E151" t="s">
        <v>8</v>
      </c>
      <c r="F151" t="s">
        <v>119</v>
      </c>
    </row>
    <row r="152" spans="1:6" hidden="1" x14ac:dyDescent="0.2">
      <c r="A152">
        <v>10004</v>
      </c>
      <c r="B152">
        <v>54480</v>
      </c>
      <c r="C152">
        <v>-89</v>
      </c>
      <c r="D152">
        <v>1.24</v>
      </c>
      <c r="E152" t="s">
        <v>8</v>
      </c>
      <c r="F152" t="s">
        <v>119</v>
      </c>
    </row>
    <row r="153" spans="1:6" hidden="1" x14ac:dyDescent="0.2">
      <c r="A153">
        <v>10004</v>
      </c>
      <c r="B153">
        <v>54480</v>
      </c>
      <c r="C153">
        <v>0</v>
      </c>
      <c r="D153">
        <v>-1</v>
      </c>
      <c r="F153" t="s">
        <v>120</v>
      </c>
    </row>
    <row r="154" spans="1:6" x14ac:dyDescent="0.2">
      <c r="A154">
        <v>10006</v>
      </c>
      <c r="B154">
        <v>54480</v>
      </c>
      <c r="C154">
        <v>0</v>
      </c>
      <c r="D154">
        <v>-1</v>
      </c>
      <c r="F154" t="s">
        <v>120</v>
      </c>
    </row>
    <row r="155" spans="1:6" hidden="1" x14ac:dyDescent="0.2">
      <c r="A155">
        <v>10005</v>
      </c>
      <c r="B155">
        <v>54480</v>
      </c>
      <c r="C155">
        <v>-81</v>
      </c>
      <c r="D155">
        <v>0.42</v>
      </c>
      <c r="E155" t="s">
        <v>8</v>
      </c>
      <c r="F155" t="s">
        <v>120</v>
      </c>
    </row>
    <row r="156" spans="1:6" hidden="1" x14ac:dyDescent="0.2">
      <c r="A156">
        <v>10005</v>
      </c>
      <c r="B156">
        <v>54480</v>
      </c>
      <c r="C156">
        <v>0</v>
      </c>
      <c r="D156">
        <v>-1</v>
      </c>
      <c r="F156" t="s">
        <v>121</v>
      </c>
    </row>
    <row r="157" spans="1:6" x14ac:dyDescent="0.2">
      <c r="A157">
        <v>10006</v>
      </c>
      <c r="B157">
        <v>54480</v>
      </c>
      <c r="C157">
        <v>0</v>
      </c>
      <c r="D157">
        <v>-1</v>
      </c>
      <c r="F157" t="s">
        <v>121</v>
      </c>
    </row>
    <row r="158" spans="1:6" hidden="1" x14ac:dyDescent="0.2">
      <c r="A158">
        <v>10004</v>
      </c>
      <c r="B158">
        <v>54480</v>
      </c>
      <c r="C158">
        <v>-89</v>
      </c>
      <c r="D158">
        <v>1.27</v>
      </c>
      <c r="E158" t="s">
        <v>8</v>
      </c>
      <c r="F158" t="s">
        <v>121</v>
      </c>
    </row>
    <row r="159" spans="1:6" hidden="1" x14ac:dyDescent="0.2">
      <c r="A159">
        <v>10004</v>
      </c>
      <c r="B159">
        <v>54480</v>
      </c>
      <c r="C159">
        <v>0</v>
      </c>
      <c r="D159">
        <v>-1</v>
      </c>
      <c r="F159" t="s">
        <v>122</v>
      </c>
    </row>
    <row r="160" spans="1:6" x14ac:dyDescent="0.2">
      <c r="A160">
        <v>10006</v>
      </c>
      <c r="B160">
        <v>54480</v>
      </c>
      <c r="C160">
        <v>-43</v>
      </c>
      <c r="D160">
        <v>0</v>
      </c>
      <c r="E160" t="s">
        <v>6</v>
      </c>
      <c r="F160" t="s">
        <v>122</v>
      </c>
    </row>
    <row r="161" spans="1:6" hidden="1" x14ac:dyDescent="0.2">
      <c r="A161">
        <v>10005</v>
      </c>
      <c r="B161">
        <v>54480</v>
      </c>
      <c r="C161">
        <v>-79</v>
      </c>
      <c r="D161">
        <v>0.42</v>
      </c>
      <c r="E161" t="s">
        <v>8</v>
      </c>
      <c r="F161" t="s">
        <v>122</v>
      </c>
    </row>
    <row r="162" spans="1:6" hidden="1" x14ac:dyDescent="0.2">
      <c r="A162">
        <v>10004</v>
      </c>
      <c r="B162">
        <v>54480</v>
      </c>
      <c r="C162">
        <v>0</v>
      </c>
      <c r="D162">
        <v>-1</v>
      </c>
      <c r="F162" t="s">
        <v>123</v>
      </c>
    </row>
    <row r="163" spans="1:6" hidden="1" x14ac:dyDescent="0.2">
      <c r="A163">
        <v>10005</v>
      </c>
      <c r="B163">
        <v>54480</v>
      </c>
      <c r="C163">
        <v>0</v>
      </c>
      <c r="D163">
        <v>-1</v>
      </c>
      <c r="F163" t="s">
        <v>123</v>
      </c>
    </row>
    <row r="164" spans="1:6" x14ac:dyDescent="0.2">
      <c r="A164">
        <v>10006</v>
      </c>
      <c r="B164">
        <v>54480</v>
      </c>
      <c r="C164">
        <v>-43</v>
      </c>
      <c r="D164">
        <v>0</v>
      </c>
      <c r="E164" t="s">
        <v>6</v>
      </c>
      <c r="F164" t="s">
        <v>123</v>
      </c>
    </row>
    <row r="165" spans="1:6" x14ac:dyDescent="0.2">
      <c r="A165">
        <v>10006</v>
      </c>
      <c r="B165">
        <v>54480</v>
      </c>
      <c r="C165">
        <v>-43</v>
      </c>
      <c r="D165">
        <v>0</v>
      </c>
      <c r="E165" t="s">
        <v>6</v>
      </c>
      <c r="F165" t="s">
        <v>124</v>
      </c>
    </row>
    <row r="166" spans="1:6" hidden="1" x14ac:dyDescent="0.2">
      <c r="A166">
        <v>10005</v>
      </c>
      <c r="B166">
        <v>54480</v>
      </c>
      <c r="C166">
        <v>-76</v>
      </c>
      <c r="D166">
        <v>0.37</v>
      </c>
      <c r="E166" t="s">
        <v>6</v>
      </c>
      <c r="F166" t="s">
        <v>124</v>
      </c>
    </row>
    <row r="167" spans="1:6" hidden="1" x14ac:dyDescent="0.2">
      <c r="A167">
        <v>10004</v>
      </c>
      <c r="B167">
        <v>54480</v>
      </c>
      <c r="C167">
        <v>-93</v>
      </c>
      <c r="D167">
        <v>1.39</v>
      </c>
      <c r="E167" t="s">
        <v>8</v>
      </c>
      <c r="F167" t="s">
        <v>124</v>
      </c>
    </row>
    <row r="168" spans="1:6" hidden="1" x14ac:dyDescent="0.2">
      <c r="A168">
        <v>10005</v>
      </c>
      <c r="B168">
        <v>54480</v>
      </c>
      <c r="C168">
        <v>0</v>
      </c>
      <c r="D168">
        <v>-1</v>
      </c>
      <c r="F168" t="s">
        <v>125</v>
      </c>
    </row>
    <row r="169" spans="1:6" x14ac:dyDescent="0.2">
      <c r="A169">
        <v>10006</v>
      </c>
      <c r="B169">
        <v>54480</v>
      </c>
      <c r="C169">
        <v>-43</v>
      </c>
      <c r="D169">
        <v>0</v>
      </c>
      <c r="E169" t="s">
        <v>6</v>
      </c>
      <c r="F169" t="s">
        <v>125</v>
      </c>
    </row>
    <row r="170" spans="1:6" hidden="1" x14ac:dyDescent="0.2">
      <c r="A170">
        <v>10004</v>
      </c>
      <c r="B170">
        <v>54480</v>
      </c>
      <c r="C170">
        <v>-92</v>
      </c>
      <c r="D170">
        <v>1.52</v>
      </c>
      <c r="E170" t="s">
        <v>8</v>
      </c>
      <c r="F170" t="s">
        <v>125</v>
      </c>
    </row>
    <row r="171" spans="1:6" hidden="1" x14ac:dyDescent="0.2">
      <c r="A171">
        <v>10004</v>
      </c>
      <c r="B171">
        <v>54480</v>
      </c>
      <c r="C171">
        <v>0</v>
      </c>
      <c r="D171">
        <v>-1</v>
      </c>
      <c r="F171" t="s">
        <v>126</v>
      </c>
    </row>
    <row r="172" spans="1:6" x14ac:dyDescent="0.2">
      <c r="A172">
        <v>10006</v>
      </c>
      <c r="B172">
        <v>54480</v>
      </c>
      <c r="C172">
        <v>-43</v>
      </c>
      <c r="D172">
        <v>0</v>
      </c>
      <c r="E172" t="s">
        <v>6</v>
      </c>
      <c r="F172" t="s">
        <v>126</v>
      </c>
    </row>
    <row r="173" spans="1:6" hidden="1" x14ac:dyDescent="0.2">
      <c r="A173">
        <v>10005</v>
      </c>
      <c r="B173">
        <v>54480</v>
      </c>
      <c r="C173">
        <v>-74</v>
      </c>
      <c r="D173">
        <v>0.3</v>
      </c>
      <c r="E173" t="s">
        <v>6</v>
      </c>
      <c r="F173" t="s">
        <v>126</v>
      </c>
    </row>
    <row r="174" spans="1:6" hidden="1" x14ac:dyDescent="0.2">
      <c r="A174">
        <v>10005</v>
      </c>
      <c r="B174">
        <v>54480</v>
      </c>
      <c r="C174">
        <v>0</v>
      </c>
      <c r="D174">
        <v>-1</v>
      </c>
      <c r="F174" t="s">
        <v>127</v>
      </c>
    </row>
    <row r="175" spans="1:6" x14ac:dyDescent="0.2">
      <c r="A175">
        <v>10006</v>
      </c>
      <c r="B175">
        <v>54480</v>
      </c>
      <c r="C175">
        <v>-44</v>
      </c>
      <c r="D175">
        <v>0</v>
      </c>
      <c r="E175" t="s">
        <v>6</v>
      </c>
      <c r="F175" t="s">
        <v>127</v>
      </c>
    </row>
    <row r="176" spans="1:6" hidden="1" x14ac:dyDescent="0.2">
      <c r="A176">
        <v>10004</v>
      </c>
      <c r="B176">
        <v>54480</v>
      </c>
      <c r="C176">
        <v>-90</v>
      </c>
      <c r="D176">
        <v>1.54</v>
      </c>
      <c r="E176" t="s">
        <v>8</v>
      </c>
      <c r="F176" t="s">
        <v>127</v>
      </c>
    </row>
    <row r="177" spans="1:6" hidden="1" x14ac:dyDescent="0.2">
      <c r="A177">
        <v>10004</v>
      </c>
      <c r="B177">
        <v>54480</v>
      </c>
      <c r="C177">
        <v>0</v>
      </c>
      <c r="D177">
        <v>-1</v>
      </c>
      <c r="F177" t="s">
        <v>128</v>
      </c>
    </row>
    <row r="178" spans="1:6" x14ac:dyDescent="0.2">
      <c r="A178">
        <v>10006</v>
      </c>
      <c r="B178">
        <v>54480</v>
      </c>
      <c r="C178">
        <v>0</v>
      </c>
      <c r="D178">
        <v>-1</v>
      </c>
      <c r="F178" t="s">
        <v>128</v>
      </c>
    </row>
    <row r="179" spans="1:6" hidden="1" x14ac:dyDescent="0.2">
      <c r="A179">
        <v>10005</v>
      </c>
      <c r="B179">
        <v>54480</v>
      </c>
      <c r="C179">
        <v>-76</v>
      </c>
      <c r="D179">
        <v>0.28999999999999998</v>
      </c>
      <c r="E179" t="s">
        <v>6</v>
      </c>
      <c r="F179" t="s">
        <v>128</v>
      </c>
    </row>
  </sheetData>
  <autoFilter ref="A1:F179" xr:uid="{00000000-0009-0000-0000-000004000000}">
    <filterColumn colId="0">
      <filters>
        <filter val="10006"/>
      </filters>
    </filterColumn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filterMode="1"/>
  <dimension ref="A1:J261"/>
  <sheetViews>
    <sheetView workbookViewId="0">
      <selection activeCell="D1" sqref="D1:D1048576"/>
    </sheetView>
  </sheetViews>
  <sheetFormatPr baseColWidth="10" defaultRowHeight="16" x14ac:dyDescent="0.2"/>
  <cols>
    <col min="6" max="6" width="17.83203125" bestFit="1" customWidth="1"/>
  </cols>
  <sheetData>
    <row r="1" spans="1:10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10" hidden="1" x14ac:dyDescent="0.2">
      <c r="A2">
        <v>3873</v>
      </c>
      <c r="B2">
        <v>28141</v>
      </c>
      <c r="C2">
        <v>-70</v>
      </c>
      <c r="D2">
        <v>7.0000000000000007E-2</v>
      </c>
      <c r="E2" t="s">
        <v>6</v>
      </c>
      <c r="F2" t="s">
        <v>188</v>
      </c>
    </row>
    <row r="3" spans="1:10" hidden="1" x14ac:dyDescent="0.2">
      <c r="A3">
        <v>45599</v>
      </c>
      <c r="B3">
        <v>38830</v>
      </c>
      <c r="C3">
        <v>-89</v>
      </c>
      <c r="D3">
        <v>2.78</v>
      </c>
      <c r="E3" t="s">
        <v>8</v>
      </c>
      <c r="F3" t="s">
        <v>188</v>
      </c>
      <c r="H3" t="s">
        <v>309</v>
      </c>
      <c r="I3" t="s">
        <v>310</v>
      </c>
      <c r="J3" t="s">
        <v>311</v>
      </c>
    </row>
    <row r="4" spans="1:10" hidden="1" x14ac:dyDescent="0.2">
      <c r="A4">
        <v>1034</v>
      </c>
      <c r="B4">
        <v>12408</v>
      </c>
      <c r="C4">
        <v>-90</v>
      </c>
      <c r="D4">
        <v>5.99</v>
      </c>
      <c r="E4" t="s">
        <v>44</v>
      </c>
      <c r="F4" t="s">
        <v>188</v>
      </c>
      <c r="H4">
        <v>3873</v>
      </c>
      <c r="I4">
        <f>COUNTIF(A2:A261, "3873")</f>
        <v>60</v>
      </c>
      <c r="J4">
        <v>-60</v>
      </c>
    </row>
    <row r="5" spans="1:10" hidden="1" x14ac:dyDescent="0.2">
      <c r="A5">
        <v>3873</v>
      </c>
      <c r="B5">
        <v>28141</v>
      </c>
      <c r="C5">
        <v>0</v>
      </c>
      <c r="D5">
        <v>-1</v>
      </c>
      <c r="F5" t="s">
        <v>187</v>
      </c>
      <c r="H5">
        <v>31536</v>
      </c>
      <c r="I5">
        <f>COUNTIF(A2:A261, "31536")</f>
        <v>59</v>
      </c>
      <c r="J5">
        <v>-87.1</v>
      </c>
    </row>
    <row r="6" spans="1:10" x14ac:dyDescent="0.2">
      <c r="A6">
        <v>31536</v>
      </c>
      <c r="B6">
        <v>15107</v>
      </c>
      <c r="C6">
        <v>-90</v>
      </c>
      <c r="D6">
        <v>0.88</v>
      </c>
      <c r="E6" t="s">
        <v>8</v>
      </c>
      <c r="F6" t="s">
        <v>187</v>
      </c>
      <c r="H6">
        <v>17519</v>
      </c>
      <c r="I6">
        <f>COUNTIF(A2:A261, "17519")</f>
        <v>0</v>
      </c>
      <c r="J6">
        <v>0</v>
      </c>
    </row>
    <row r="7" spans="1:10" hidden="1" x14ac:dyDescent="0.2">
      <c r="A7">
        <v>45599</v>
      </c>
      <c r="B7">
        <v>38830</v>
      </c>
      <c r="C7">
        <v>-86</v>
      </c>
      <c r="D7">
        <v>2.04</v>
      </c>
      <c r="E7" t="s">
        <v>8</v>
      </c>
      <c r="F7" t="s">
        <v>187</v>
      </c>
      <c r="H7" t="s">
        <v>312</v>
      </c>
      <c r="I7">
        <f>COUNTIF(E2:E261, "")</f>
        <v>23</v>
      </c>
    </row>
    <row r="8" spans="1:10" hidden="1" x14ac:dyDescent="0.2">
      <c r="A8">
        <v>1034</v>
      </c>
      <c r="B8">
        <v>12408</v>
      </c>
      <c r="C8">
        <v>-89</v>
      </c>
      <c r="D8">
        <v>5.52</v>
      </c>
      <c r="E8" t="s">
        <v>44</v>
      </c>
      <c r="F8" t="s">
        <v>187</v>
      </c>
    </row>
    <row r="9" spans="1:10" x14ac:dyDescent="0.2">
      <c r="A9">
        <v>31536</v>
      </c>
      <c r="B9">
        <v>15107</v>
      </c>
      <c r="C9">
        <v>0</v>
      </c>
      <c r="D9">
        <v>-1</v>
      </c>
      <c r="F9" t="s">
        <v>186</v>
      </c>
    </row>
    <row r="10" spans="1:10" hidden="1" x14ac:dyDescent="0.2">
      <c r="A10">
        <v>3873</v>
      </c>
      <c r="B10">
        <v>28141</v>
      </c>
      <c r="C10">
        <v>-69</v>
      </c>
      <c r="D10">
        <v>0.06</v>
      </c>
      <c r="E10" t="s">
        <v>6</v>
      </c>
      <c r="F10" t="s">
        <v>186</v>
      </c>
    </row>
    <row r="11" spans="1:10" hidden="1" x14ac:dyDescent="0.2">
      <c r="A11">
        <v>45599</v>
      </c>
      <c r="B11">
        <v>38830</v>
      </c>
      <c r="C11">
        <v>-84</v>
      </c>
      <c r="D11">
        <v>1.73</v>
      </c>
      <c r="E11" t="s">
        <v>8</v>
      </c>
      <c r="F11" t="s">
        <v>186</v>
      </c>
    </row>
    <row r="12" spans="1:10" hidden="1" x14ac:dyDescent="0.2">
      <c r="A12">
        <v>1034</v>
      </c>
      <c r="B12">
        <v>12408</v>
      </c>
      <c r="C12">
        <v>-88</v>
      </c>
      <c r="D12">
        <v>5.14</v>
      </c>
      <c r="E12" t="s">
        <v>44</v>
      </c>
      <c r="F12" t="s">
        <v>186</v>
      </c>
    </row>
    <row r="13" spans="1:10" hidden="1" x14ac:dyDescent="0.2">
      <c r="A13">
        <v>3873</v>
      </c>
      <c r="B13">
        <v>28141</v>
      </c>
      <c r="C13">
        <v>0</v>
      </c>
      <c r="D13">
        <v>-1</v>
      </c>
      <c r="F13" t="s">
        <v>185</v>
      </c>
    </row>
    <row r="14" spans="1:10" x14ac:dyDescent="0.2">
      <c r="A14">
        <v>31536</v>
      </c>
      <c r="B14">
        <v>15107</v>
      </c>
      <c r="C14">
        <v>-91</v>
      </c>
      <c r="D14">
        <v>0.99</v>
      </c>
      <c r="E14" t="s">
        <v>8</v>
      </c>
      <c r="F14" t="s">
        <v>185</v>
      </c>
    </row>
    <row r="15" spans="1:10" hidden="1" x14ac:dyDescent="0.2">
      <c r="A15">
        <v>45599</v>
      </c>
      <c r="B15">
        <v>38830</v>
      </c>
      <c r="C15">
        <v>-84</v>
      </c>
      <c r="D15">
        <v>1.62</v>
      </c>
      <c r="E15" t="s">
        <v>8</v>
      </c>
      <c r="F15" t="s">
        <v>185</v>
      </c>
    </row>
    <row r="16" spans="1:10" hidden="1" x14ac:dyDescent="0.2">
      <c r="A16">
        <v>1034</v>
      </c>
      <c r="B16">
        <v>12408</v>
      </c>
      <c r="C16">
        <v>-88</v>
      </c>
      <c r="D16">
        <v>4.9800000000000004</v>
      </c>
      <c r="E16" t="s">
        <v>44</v>
      </c>
      <c r="F16" t="s">
        <v>185</v>
      </c>
    </row>
    <row r="17" spans="1:6" hidden="1" x14ac:dyDescent="0.2">
      <c r="A17">
        <v>3873</v>
      </c>
      <c r="B17">
        <v>28141</v>
      </c>
      <c r="C17">
        <v>0</v>
      </c>
      <c r="D17">
        <v>-1</v>
      </c>
      <c r="F17" t="s">
        <v>184</v>
      </c>
    </row>
    <row r="18" spans="1:6" x14ac:dyDescent="0.2">
      <c r="A18">
        <v>31536</v>
      </c>
      <c r="B18">
        <v>15107</v>
      </c>
      <c r="C18">
        <v>-91</v>
      </c>
      <c r="D18">
        <v>1</v>
      </c>
      <c r="E18" t="s">
        <v>8</v>
      </c>
      <c r="F18" t="s">
        <v>184</v>
      </c>
    </row>
    <row r="19" spans="1:6" hidden="1" x14ac:dyDescent="0.2">
      <c r="A19">
        <v>45599</v>
      </c>
      <c r="B19">
        <v>38830</v>
      </c>
      <c r="C19">
        <v>-85</v>
      </c>
      <c r="D19">
        <v>1.64</v>
      </c>
      <c r="E19" t="s">
        <v>8</v>
      </c>
      <c r="F19" t="s">
        <v>184</v>
      </c>
    </row>
    <row r="20" spans="1:6" hidden="1" x14ac:dyDescent="0.2">
      <c r="A20">
        <v>1034</v>
      </c>
      <c r="B20">
        <v>12408</v>
      </c>
      <c r="C20">
        <v>-90</v>
      </c>
      <c r="D20">
        <v>5.2</v>
      </c>
      <c r="E20" t="s">
        <v>44</v>
      </c>
      <c r="F20" t="s">
        <v>184</v>
      </c>
    </row>
    <row r="21" spans="1:6" hidden="1" x14ac:dyDescent="0.2">
      <c r="A21">
        <v>3873</v>
      </c>
      <c r="B21">
        <v>28141</v>
      </c>
      <c r="C21">
        <v>0</v>
      </c>
      <c r="D21">
        <v>-1</v>
      </c>
      <c r="F21" t="s">
        <v>183</v>
      </c>
    </row>
    <row r="22" spans="1:6" x14ac:dyDescent="0.2">
      <c r="A22">
        <v>31536</v>
      </c>
      <c r="B22">
        <v>15107</v>
      </c>
      <c r="C22">
        <v>-91</v>
      </c>
      <c r="D22">
        <v>1</v>
      </c>
      <c r="E22" t="s">
        <v>8</v>
      </c>
      <c r="F22" t="s">
        <v>183</v>
      </c>
    </row>
    <row r="23" spans="1:6" hidden="1" x14ac:dyDescent="0.2">
      <c r="A23">
        <v>45599</v>
      </c>
      <c r="B23">
        <v>38830</v>
      </c>
      <c r="C23">
        <v>-86</v>
      </c>
      <c r="D23">
        <v>1.7</v>
      </c>
      <c r="E23" t="s">
        <v>8</v>
      </c>
      <c r="F23" t="s">
        <v>183</v>
      </c>
    </row>
    <row r="24" spans="1:6" hidden="1" x14ac:dyDescent="0.2">
      <c r="A24">
        <v>1034</v>
      </c>
      <c r="B24">
        <v>12408</v>
      </c>
      <c r="C24">
        <v>-90</v>
      </c>
      <c r="D24">
        <v>5.35</v>
      </c>
      <c r="E24" t="s">
        <v>44</v>
      </c>
      <c r="F24" t="s">
        <v>183</v>
      </c>
    </row>
    <row r="25" spans="1:6" hidden="1" x14ac:dyDescent="0.2">
      <c r="A25">
        <v>3873</v>
      </c>
      <c r="B25">
        <v>28141</v>
      </c>
      <c r="C25">
        <v>-69</v>
      </c>
      <c r="D25">
        <v>0.06</v>
      </c>
      <c r="E25" t="s">
        <v>6</v>
      </c>
      <c r="F25" t="s">
        <v>182</v>
      </c>
    </row>
    <row r="26" spans="1:6" x14ac:dyDescent="0.2">
      <c r="A26">
        <v>31536</v>
      </c>
      <c r="B26">
        <v>15107</v>
      </c>
      <c r="C26">
        <v>-92</v>
      </c>
      <c r="D26">
        <v>1.04</v>
      </c>
      <c r="E26" t="s">
        <v>8</v>
      </c>
      <c r="F26" t="s">
        <v>182</v>
      </c>
    </row>
    <row r="27" spans="1:6" hidden="1" x14ac:dyDescent="0.2">
      <c r="A27">
        <v>45599</v>
      </c>
      <c r="B27">
        <v>38830</v>
      </c>
      <c r="C27">
        <v>-85</v>
      </c>
      <c r="D27">
        <v>1.69</v>
      </c>
      <c r="E27" t="s">
        <v>8</v>
      </c>
      <c r="F27" t="s">
        <v>182</v>
      </c>
    </row>
    <row r="28" spans="1:6" hidden="1" x14ac:dyDescent="0.2">
      <c r="A28">
        <v>1034</v>
      </c>
      <c r="B28">
        <v>12408</v>
      </c>
      <c r="C28">
        <v>-88</v>
      </c>
      <c r="D28">
        <v>5.2</v>
      </c>
      <c r="E28" t="s">
        <v>44</v>
      </c>
      <c r="F28" t="s">
        <v>182</v>
      </c>
    </row>
    <row r="29" spans="1:6" hidden="1" x14ac:dyDescent="0.2">
      <c r="A29">
        <v>3873</v>
      </c>
      <c r="B29">
        <v>28141</v>
      </c>
      <c r="C29">
        <v>0</v>
      </c>
      <c r="D29">
        <v>-1</v>
      </c>
      <c r="F29" t="s">
        <v>181</v>
      </c>
    </row>
    <row r="30" spans="1:6" x14ac:dyDescent="0.2">
      <c r="A30">
        <v>31536</v>
      </c>
      <c r="B30">
        <v>15107</v>
      </c>
      <c r="C30">
        <v>-91</v>
      </c>
      <c r="D30">
        <v>1.03</v>
      </c>
      <c r="E30" t="s">
        <v>8</v>
      </c>
      <c r="F30" t="s">
        <v>181</v>
      </c>
    </row>
    <row r="31" spans="1:6" hidden="1" x14ac:dyDescent="0.2">
      <c r="A31">
        <v>45599</v>
      </c>
      <c r="B31">
        <v>38830</v>
      </c>
      <c r="C31">
        <v>-87</v>
      </c>
      <c r="D31">
        <v>1.77</v>
      </c>
      <c r="E31" t="s">
        <v>8</v>
      </c>
      <c r="F31" t="s">
        <v>181</v>
      </c>
    </row>
    <row r="32" spans="1:6" hidden="1" x14ac:dyDescent="0.2">
      <c r="A32">
        <v>1034</v>
      </c>
      <c r="B32">
        <v>12408</v>
      </c>
      <c r="C32">
        <v>-88</v>
      </c>
      <c r="D32">
        <v>5.0999999999999996</v>
      </c>
      <c r="E32" t="s">
        <v>44</v>
      </c>
      <c r="F32" t="s">
        <v>181</v>
      </c>
    </row>
    <row r="33" spans="1:6" hidden="1" x14ac:dyDescent="0.2">
      <c r="A33">
        <v>3873</v>
      </c>
      <c r="B33">
        <v>28141</v>
      </c>
      <c r="C33">
        <v>-70</v>
      </c>
      <c r="D33">
        <v>7.0000000000000007E-2</v>
      </c>
      <c r="E33" t="s">
        <v>6</v>
      </c>
      <c r="F33" t="s">
        <v>180</v>
      </c>
    </row>
    <row r="34" spans="1:6" x14ac:dyDescent="0.2">
      <c r="A34">
        <v>31536</v>
      </c>
      <c r="B34">
        <v>15107</v>
      </c>
      <c r="C34">
        <v>-92</v>
      </c>
      <c r="D34">
        <v>1.05</v>
      </c>
      <c r="E34" t="s">
        <v>8</v>
      </c>
      <c r="F34" t="s">
        <v>180</v>
      </c>
    </row>
    <row r="35" spans="1:6" hidden="1" x14ac:dyDescent="0.2">
      <c r="A35">
        <v>45599</v>
      </c>
      <c r="B35">
        <v>38830</v>
      </c>
      <c r="C35">
        <v>-86</v>
      </c>
      <c r="D35">
        <v>1.79</v>
      </c>
      <c r="E35" t="s">
        <v>8</v>
      </c>
      <c r="F35" t="s">
        <v>180</v>
      </c>
    </row>
    <row r="36" spans="1:6" hidden="1" x14ac:dyDescent="0.2">
      <c r="A36">
        <v>1034</v>
      </c>
      <c r="B36">
        <v>12408</v>
      </c>
      <c r="C36">
        <v>-92</v>
      </c>
      <c r="D36">
        <v>5.36</v>
      </c>
      <c r="E36" t="s">
        <v>44</v>
      </c>
      <c r="F36" t="s">
        <v>180</v>
      </c>
    </row>
    <row r="37" spans="1:6" hidden="1" x14ac:dyDescent="0.2">
      <c r="A37">
        <v>3873</v>
      </c>
      <c r="B37">
        <v>28141</v>
      </c>
      <c r="C37">
        <v>0</v>
      </c>
      <c r="D37">
        <v>-1</v>
      </c>
      <c r="F37" t="s">
        <v>179</v>
      </c>
    </row>
    <row r="38" spans="1:6" x14ac:dyDescent="0.2">
      <c r="A38">
        <v>31536</v>
      </c>
      <c r="B38">
        <v>15107</v>
      </c>
      <c r="C38">
        <v>-92</v>
      </c>
      <c r="D38">
        <v>1.07</v>
      </c>
      <c r="E38" t="s">
        <v>8</v>
      </c>
      <c r="F38" t="s">
        <v>179</v>
      </c>
    </row>
    <row r="39" spans="1:6" hidden="1" x14ac:dyDescent="0.2">
      <c r="A39">
        <v>45599</v>
      </c>
      <c r="B39">
        <v>38830</v>
      </c>
      <c r="C39">
        <v>-85</v>
      </c>
      <c r="D39">
        <v>1.77</v>
      </c>
      <c r="E39" t="s">
        <v>8</v>
      </c>
      <c r="F39" t="s">
        <v>179</v>
      </c>
    </row>
    <row r="40" spans="1:6" hidden="1" x14ac:dyDescent="0.2">
      <c r="A40">
        <v>1034</v>
      </c>
      <c r="B40">
        <v>12408</v>
      </c>
      <c r="C40">
        <v>-92</v>
      </c>
      <c r="D40">
        <v>5.58</v>
      </c>
      <c r="E40" t="s">
        <v>44</v>
      </c>
      <c r="F40" t="s">
        <v>179</v>
      </c>
    </row>
    <row r="41" spans="1:6" hidden="1" x14ac:dyDescent="0.2">
      <c r="A41">
        <v>3873</v>
      </c>
      <c r="B41">
        <v>28141</v>
      </c>
      <c r="C41">
        <v>-70</v>
      </c>
      <c r="D41">
        <v>7.0000000000000007E-2</v>
      </c>
      <c r="E41" t="s">
        <v>6</v>
      </c>
      <c r="F41" t="s">
        <v>178</v>
      </c>
    </row>
    <row r="42" spans="1:6" x14ac:dyDescent="0.2">
      <c r="A42">
        <v>31536</v>
      </c>
      <c r="B42">
        <v>15107</v>
      </c>
      <c r="C42">
        <v>-92</v>
      </c>
      <c r="D42">
        <v>1.08</v>
      </c>
      <c r="E42" t="s">
        <v>8</v>
      </c>
      <c r="F42" t="s">
        <v>178</v>
      </c>
    </row>
    <row r="43" spans="1:6" hidden="1" x14ac:dyDescent="0.2">
      <c r="A43">
        <v>45599</v>
      </c>
      <c r="B43">
        <v>38830</v>
      </c>
      <c r="C43">
        <v>-86</v>
      </c>
      <c r="D43">
        <v>1.79</v>
      </c>
      <c r="E43" t="s">
        <v>8</v>
      </c>
      <c r="F43" t="s">
        <v>178</v>
      </c>
    </row>
    <row r="44" spans="1:6" hidden="1" x14ac:dyDescent="0.2">
      <c r="A44">
        <v>1034</v>
      </c>
      <c r="B44">
        <v>12408</v>
      </c>
      <c r="C44">
        <v>-88</v>
      </c>
      <c r="D44">
        <v>5.45</v>
      </c>
      <c r="E44" t="s">
        <v>44</v>
      </c>
      <c r="F44" t="s">
        <v>178</v>
      </c>
    </row>
    <row r="45" spans="1:6" hidden="1" x14ac:dyDescent="0.2">
      <c r="A45">
        <v>3873</v>
      </c>
      <c r="B45">
        <v>28141</v>
      </c>
      <c r="C45">
        <v>0</v>
      </c>
      <c r="D45">
        <v>-1</v>
      </c>
      <c r="F45" t="s">
        <v>177</v>
      </c>
    </row>
    <row r="46" spans="1:6" x14ac:dyDescent="0.2">
      <c r="A46">
        <v>31536</v>
      </c>
      <c r="B46">
        <v>15107</v>
      </c>
      <c r="C46">
        <v>-91</v>
      </c>
      <c r="D46">
        <v>1.07</v>
      </c>
      <c r="E46" t="s">
        <v>8</v>
      </c>
      <c r="F46" t="s">
        <v>177</v>
      </c>
    </row>
    <row r="47" spans="1:6" hidden="1" x14ac:dyDescent="0.2">
      <c r="A47">
        <v>45599</v>
      </c>
      <c r="B47">
        <v>38830</v>
      </c>
      <c r="C47">
        <v>-87</v>
      </c>
      <c r="D47">
        <v>1.83</v>
      </c>
      <c r="E47" t="s">
        <v>8</v>
      </c>
      <c r="F47" t="s">
        <v>177</v>
      </c>
    </row>
    <row r="48" spans="1:6" hidden="1" x14ac:dyDescent="0.2">
      <c r="A48">
        <v>1034</v>
      </c>
      <c r="B48">
        <v>12408</v>
      </c>
      <c r="C48">
        <v>-92</v>
      </c>
      <c r="D48">
        <v>5.63</v>
      </c>
      <c r="E48" t="s">
        <v>44</v>
      </c>
      <c r="F48" t="s">
        <v>177</v>
      </c>
    </row>
    <row r="49" spans="1:6" hidden="1" x14ac:dyDescent="0.2">
      <c r="A49">
        <v>3873</v>
      </c>
      <c r="B49">
        <v>28141</v>
      </c>
      <c r="C49">
        <v>-68</v>
      </c>
      <c r="D49">
        <v>0.06</v>
      </c>
      <c r="E49" t="s">
        <v>6</v>
      </c>
      <c r="F49" t="s">
        <v>176</v>
      </c>
    </row>
    <row r="50" spans="1:6" x14ac:dyDescent="0.2">
      <c r="A50">
        <v>31536</v>
      </c>
      <c r="B50">
        <v>15107</v>
      </c>
      <c r="C50">
        <v>-91</v>
      </c>
      <c r="D50">
        <v>1.06</v>
      </c>
      <c r="E50" t="s">
        <v>8</v>
      </c>
      <c r="F50" t="s">
        <v>176</v>
      </c>
    </row>
    <row r="51" spans="1:6" hidden="1" x14ac:dyDescent="0.2">
      <c r="A51">
        <v>45599</v>
      </c>
      <c r="B51">
        <v>38830</v>
      </c>
      <c r="C51">
        <v>-85</v>
      </c>
      <c r="D51">
        <v>1.81</v>
      </c>
      <c r="E51" t="s">
        <v>8</v>
      </c>
      <c r="F51" t="s">
        <v>176</v>
      </c>
    </row>
    <row r="52" spans="1:6" hidden="1" x14ac:dyDescent="0.2">
      <c r="A52">
        <v>1034</v>
      </c>
      <c r="B52">
        <v>12408</v>
      </c>
      <c r="C52">
        <v>-92</v>
      </c>
      <c r="D52">
        <v>5.79</v>
      </c>
      <c r="E52" t="s">
        <v>44</v>
      </c>
      <c r="F52" t="s">
        <v>176</v>
      </c>
    </row>
    <row r="53" spans="1:6" hidden="1" x14ac:dyDescent="0.2">
      <c r="A53">
        <v>3873</v>
      </c>
      <c r="B53">
        <v>28141</v>
      </c>
      <c r="C53">
        <v>-69</v>
      </c>
      <c r="D53">
        <v>0.06</v>
      </c>
      <c r="E53" t="s">
        <v>6</v>
      </c>
      <c r="F53" t="s">
        <v>175</v>
      </c>
    </row>
    <row r="54" spans="1:6" x14ac:dyDescent="0.2">
      <c r="A54">
        <v>31536</v>
      </c>
      <c r="B54">
        <v>15107</v>
      </c>
      <c r="C54">
        <v>-92</v>
      </c>
      <c r="D54">
        <v>1.07</v>
      </c>
      <c r="E54" t="s">
        <v>8</v>
      </c>
      <c r="F54" t="s">
        <v>175</v>
      </c>
    </row>
    <row r="55" spans="1:6" hidden="1" x14ac:dyDescent="0.2">
      <c r="A55">
        <v>45599</v>
      </c>
      <c r="B55">
        <v>38830</v>
      </c>
      <c r="C55">
        <v>-84</v>
      </c>
      <c r="D55">
        <v>1.76</v>
      </c>
      <c r="E55" t="s">
        <v>8</v>
      </c>
      <c r="F55" t="s">
        <v>175</v>
      </c>
    </row>
    <row r="56" spans="1:6" hidden="1" x14ac:dyDescent="0.2">
      <c r="A56">
        <v>1034</v>
      </c>
      <c r="B56">
        <v>12408</v>
      </c>
      <c r="C56">
        <v>-89</v>
      </c>
      <c r="D56">
        <v>5.73</v>
      </c>
      <c r="E56" t="s">
        <v>44</v>
      </c>
      <c r="F56" t="s">
        <v>175</v>
      </c>
    </row>
    <row r="57" spans="1:6" hidden="1" x14ac:dyDescent="0.2">
      <c r="A57">
        <v>3873</v>
      </c>
      <c r="B57">
        <v>28141</v>
      </c>
      <c r="C57">
        <v>-69</v>
      </c>
      <c r="D57">
        <v>0.06</v>
      </c>
      <c r="E57" t="s">
        <v>6</v>
      </c>
      <c r="F57" t="s">
        <v>174</v>
      </c>
    </row>
    <row r="58" spans="1:6" x14ac:dyDescent="0.2">
      <c r="A58">
        <v>31536</v>
      </c>
      <c r="B58">
        <v>15107</v>
      </c>
      <c r="C58">
        <v>-92</v>
      </c>
      <c r="D58">
        <v>1.08</v>
      </c>
      <c r="E58" t="s">
        <v>8</v>
      </c>
      <c r="F58" t="s">
        <v>174</v>
      </c>
    </row>
    <row r="59" spans="1:6" hidden="1" x14ac:dyDescent="0.2">
      <c r="A59">
        <v>45599</v>
      </c>
      <c r="B59">
        <v>38830</v>
      </c>
      <c r="C59">
        <v>-84</v>
      </c>
      <c r="D59">
        <v>1.72</v>
      </c>
      <c r="E59" t="s">
        <v>8</v>
      </c>
      <c r="F59" t="s">
        <v>174</v>
      </c>
    </row>
    <row r="60" spans="1:6" hidden="1" x14ac:dyDescent="0.2">
      <c r="A60">
        <v>1034</v>
      </c>
      <c r="B60">
        <v>12408</v>
      </c>
      <c r="C60">
        <v>-92</v>
      </c>
      <c r="D60">
        <v>5.87</v>
      </c>
      <c r="E60" t="s">
        <v>44</v>
      </c>
      <c r="F60" t="s">
        <v>174</v>
      </c>
    </row>
    <row r="61" spans="1:6" hidden="1" x14ac:dyDescent="0.2">
      <c r="A61">
        <v>3873</v>
      </c>
      <c r="B61">
        <v>28141</v>
      </c>
      <c r="C61">
        <v>-68</v>
      </c>
      <c r="D61">
        <v>0.06</v>
      </c>
      <c r="E61" t="s">
        <v>6</v>
      </c>
      <c r="F61" t="s">
        <v>173</v>
      </c>
    </row>
    <row r="62" spans="1:6" x14ac:dyDescent="0.2">
      <c r="A62">
        <v>31536</v>
      </c>
      <c r="B62">
        <v>15107</v>
      </c>
      <c r="C62">
        <v>-91</v>
      </c>
      <c r="D62">
        <v>1.07</v>
      </c>
      <c r="E62" t="s">
        <v>8</v>
      </c>
      <c r="F62" t="s">
        <v>173</v>
      </c>
    </row>
    <row r="63" spans="1:6" hidden="1" x14ac:dyDescent="0.2">
      <c r="A63">
        <v>45599</v>
      </c>
      <c r="B63">
        <v>38830</v>
      </c>
      <c r="C63">
        <v>-85</v>
      </c>
      <c r="D63">
        <v>1.71</v>
      </c>
      <c r="E63" t="s">
        <v>8</v>
      </c>
      <c r="F63" t="s">
        <v>173</v>
      </c>
    </row>
    <row r="64" spans="1:6" hidden="1" x14ac:dyDescent="0.2">
      <c r="A64">
        <v>1034</v>
      </c>
      <c r="B64">
        <v>12408</v>
      </c>
      <c r="C64">
        <v>-88</v>
      </c>
      <c r="D64">
        <v>5.74</v>
      </c>
      <c r="E64" t="s">
        <v>44</v>
      </c>
      <c r="F64" t="s">
        <v>173</v>
      </c>
    </row>
    <row r="65" spans="1:6" hidden="1" x14ac:dyDescent="0.2">
      <c r="A65">
        <v>3873</v>
      </c>
      <c r="B65">
        <v>28141</v>
      </c>
      <c r="C65">
        <v>-67</v>
      </c>
      <c r="D65">
        <v>0.05</v>
      </c>
      <c r="E65" t="s">
        <v>6</v>
      </c>
      <c r="F65" t="s">
        <v>172</v>
      </c>
    </row>
    <row r="66" spans="1:6" x14ac:dyDescent="0.2">
      <c r="A66">
        <v>31536</v>
      </c>
      <c r="B66">
        <v>15107</v>
      </c>
      <c r="C66">
        <v>-89</v>
      </c>
      <c r="D66">
        <v>1.02</v>
      </c>
      <c r="E66" t="s">
        <v>8</v>
      </c>
      <c r="F66" t="s">
        <v>172</v>
      </c>
    </row>
    <row r="67" spans="1:6" hidden="1" x14ac:dyDescent="0.2">
      <c r="A67">
        <v>45599</v>
      </c>
      <c r="B67">
        <v>38830</v>
      </c>
      <c r="C67">
        <v>-84</v>
      </c>
      <c r="D67">
        <v>1.68</v>
      </c>
      <c r="E67" t="s">
        <v>8</v>
      </c>
      <c r="F67" t="s">
        <v>172</v>
      </c>
    </row>
    <row r="68" spans="1:6" hidden="1" x14ac:dyDescent="0.2">
      <c r="A68">
        <v>1034</v>
      </c>
      <c r="B68">
        <v>12408</v>
      </c>
      <c r="C68">
        <v>-89</v>
      </c>
      <c r="D68">
        <v>5.7</v>
      </c>
      <c r="E68" t="s">
        <v>44</v>
      </c>
      <c r="F68" t="s">
        <v>172</v>
      </c>
    </row>
    <row r="69" spans="1:6" hidden="1" x14ac:dyDescent="0.2">
      <c r="A69">
        <v>3873</v>
      </c>
      <c r="B69">
        <v>28141</v>
      </c>
      <c r="C69">
        <v>-67</v>
      </c>
      <c r="D69">
        <v>0.05</v>
      </c>
      <c r="E69" t="s">
        <v>6</v>
      </c>
      <c r="F69" t="s">
        <v>171</v>
      </c>
    </row>
    <row r="70" spans="1:6" x14ac:dyDescent="0.2">
      <c r="A70">
        <v>31536</v>
      </c>
      <c r="B70">
        <v>15107</v>
      </c>
      <c r="C70">
        <v>-90</v>
      </c>
      <c r="D70">
        <v>1</v>
      </c>
      <c r="E70" t="s">
        <v>8</v>
      </c>
      <c r="F70" t="s">
        <v>171</v>
      </c>
    </row>
    <row r="71" spans="1:6" hidden="1" x14ac:dyDescent="0.2">
      <c r="A71">
        <v>45599</v>
      </c>
      <c r="B71">
        <v>38830</v>
      </c>
      <c r="C71">
        <v>-83</v>
      </c>
      <c r="D71">
        <v>1.63</v>
      </c>
      <c r="E71" t="s">
        <v>8</v>
      </c>
      <c r="F71" t="s">
        <v>171</v>
      </c>
    </row>
    <row r="72" spans="1:6" hidden="1" x14ac:dyDescent="0.2">
      <c r="A72">
        <v>1034</v>
      </c>
      <c r="B72">
        <v>12408</v>
      </c>
      <c r="C72">
        <v>-91</v>
      </c>
      <c r="D72">
        <v>5.77</v>
      </c>
      <c r="E72" t="s">
        <v>44</v>
      </c>
      <c r="F72" t="s">
        <v>171</v>
      </c>
    </row>
    <row r="73" spans="1:6" hidden="1" x14ac:dyDescent="0.2">
      <c r="A73">
        <v>3873</v>
      </c>
      <c r="B73">
        <v>28141</v>
      </c>
      <c r="C73">
        <v>-67</v>
      </c>
      <c r="D73">
        <v>0.05</v>
      </c>
      <c r="E73" t="s">
        <v>6</v>
      </c>
      <c r="F73" t="s">
        <v>170</v>
      </c>
    </row>
    <row r="74" spans="1:6" x14ac:dyDescent="0.2">
      <c r="A74">
        <v>31536</v>
      </c>
      <c r="B74">
        <v>15107</v>
      </c>
      <c r="C74">
        <v>-89</v>
      </c>
      <c r="D74">
        <v>0.96</v>
      </c>
      <c r="E74" t="s">
        <v>8</v>
      </c>
      <c r="F74" t="s">
        <v>170</v>
      </c>
    </row>
    <row r="75" spans="1:6" hidden="1" x14ac:dyDescent="0.2">
      <c r="A75">
        <v>45599</v>
      </c>
      <c r="B75">
        <v>38830</v>
      </c>
      <c r="C75">
        <v>-84</v>
      </c>
      <c r="D75">
        <v>1.61</v>
      </c>
      <c r="E75" t="s">
        <v>8</v>
      </c>
      <c r="F75" t="s">
        <v>170</v>
      </c>
    </row>
    <row r="76" spans="1:6" hidden="1" x14ac:dyDescent="0.2">
      <c r="A76">
        <v>1034</v>
      </c>
      <c r="B76">
        <v>12408</v>
      </c>
      <c r="C76">
        <v>-93</v>
      </c>
      <c r="D76">
        <v>5.92</v>
      </c>
      <c r="E76" t="s">
        <v>44</v>
      </c>
      <c r="F76" t="s">
        <v>170</v>
      </c>
    </row>
    <row r="77" spans="1:6" hidden="1" x14ac:dyDescent="0.2">
      <c r="A77">
        <v>3873</v>
      </c>
      <c r="B77">
        <v>28141</v>
      </c>
      <c r="C77">
        <v>-68</v>
      </c>
      <c r="D77">
        <v>0.05</v>
      </c>
      <c r="E77" t="s">
        <v>6</v>
      </c>
      <c r="F77" t="s">
        <v>169</v>
      </c>
    </row>
    <row r="78" spans="1:6" x14ac:dyDescent="0.2">
      <c r="A78">
        <v>31536</v>
      </c>
      <c r="B78">
        <v>15107</v>
      </c>
      <c r="C78">
        <v>-89</v>
      </c>
      <c r="D78">
        <v>0.93</v>
      </c>
      <c r="E78" t="s">
        <v>8</v>
      </c>
      <c r="F78" t="s">
        <v>169</v>
      </c>
    </row>
    <row r="79" spans="1:6" hidden="1" x14ac:dyDescent="0.2">
      <c r="A79">
        <v>45599</v>
      </c>
      <c r="B79">
        <v>38830</v>
      </c>
      <c r="C79">
        <v>-85</v>
      </c>
      <c r="D79">
        <v>1.62</v>
      </c>
      <c r="E79" t="s">
        <v>8</v>
      </c>
      <c r="F79" t="s">
        <v>169</v>
      </c>
    </row>
    <row r="80" spans="1:6" hidden="1" x14ac:dyDescent="0.2">
      <c r="A80">
        <v>1034</v>
      </c>
      <c r="B80">
        <v>12408</v>
      </c>
      <c r="C80">
        <v>-90</v>
      </c>
      <c r="D80">
        <v>5.93</v>
      </c>
      <c r="E80" t="s">
        <v>44</v>
      </c>
      <c r="F80" t="s">
        <v>169</v>
      </c>
    </row>
    <row r="81" spans="1:6" hidden="1" x14ac:dyDescent="0.2">
      <c r="A81">
        <v>3873</v>
      </c>
      <c r="B81">
        <v>28141</v>
      </c>
      <c r="C81">
        <v>-70</v>
      </c>
      <c r="D81">
        <v>0.06</v>
      </c>
      <c r="E81" t="s">
        <v>6</v>
      </c>
      <c r="F81" t="s">
        <v>168</v>
      </c>
    </row>
    <row r="82" spans="1:6" x14ac:dyDescent="0.2">
      <c r="A82">
        <v>31536</v>
      </c>
      <c r="B82">
        <v>15107</v>
      </c>
      <c r="C82">
        <v>-90</v>
      </c>
      <c r="D82">
        <v>0.92</v>
      </c>
      <c r="E82" t="s">
        <v>8</v>
      </c>
      <c r="F82" t="s">
        <v>168</v>
      </c>
    </row>
    <row r="83" spans="1:6" hidden="1" x14ac:dyDescent="0.2">
      <c r="A83">
        <v>45599</v>
      </c>
      <c r="B83">
        <v>38830</v>
      </c>
      <c r="C83">
        <v>-83</v>
      </c>
      <c r="D83">
        <v>1.58</v>
      </c>
      <c r="E83" t="s">
        <v>8</v>
      </c>
      <c r="F83" t="s">
        <v>168</v>
      </c>
    </row>
    <row r="84" spans="1:6" hidden="1" x14ac:dyDescent="0.2">
      <c r="A84">
        <v>1034</v>
      </c>
      <c r="B84">
        <v>12408</v>
      </c>
      <c r="C84">
        <v>-89</v>
      </c>
      <c r="D84">
        <v>5.88</v>
      </c>
      <c r="E84" t="s">
        <v>44</v>
      </c>
      <c r="F84" t="s">
        <v>168</v>
      </c>
    </row>
    <row r="85" spans="1:6" hidden="1" x14ac:dyDescent="0.2">
      <c r="A85">
        <v>3873</v>
      </c>
      <c r="B85">
        <v>28141</v>
      </c>
      <c r="C85">
        <v>-69</v>
      </c>
      <c r="D85">
        <v>0.06</v>
      </c>
      <c r="E85" t="s">
        <v>6</v>
      </c>
      <c r="F85" t="s">
        <v>167</v>
      </c>
    </row>
    <row r="86" spans="1:6" x14ac:dyDescent="0.2">
      <c r="A86">
        <v>31536</v>
      </c>
      <c r="B86">
        <v>15107</v>
      </c>
      <c r="C86">
        <v>-91</v>
      </c>
      <c r="D86">
        <v>0.93</v>
      </c>
      <c r="E86" t="s">
        <v>8</v>
      </c>
      <c r="F86" t="s">
        <v>167</v>
      </c>
    </row>
    <row r="87" spans="1:6" hidden="1" x14ac:dyDescent="0.2">
      <c r="A87">
        <v>45599</v>
      </c>
      <c r="B87">
        <v>38830</v>
      </c>
      <c r="C87">
        <v>-83</v>
      </c>
      <c r="D87">
        <v>1.54</v>
      </c>
      <c r="E87" t="s">
        <v>8</v>
      </c>
      <c r="F87" t="s">
        <v>167</v>
      </c>
    </row>
    <row r="88" spans="1:6" hidden="1" x14ac:dyDescent="0.2">
      <c r="A88">
        <v>1034</v>
      </c>
      <c r="B88">
        <v>12408</v>
      </c>
      <c r="C88">
        <v>-91</v>
      </c>
      <c r="D88">
        <v>5.93</v>
      </c>
      <c r="E88" t="s">
        <v>44</v>
      </c>
      <c r="F88" t="s">
        <v>167</v>
      </c>
    </row>
    <row r="89" spans="1:6" hidden="1" x14ac:dyDescent="0.2">
      <c r="A89">
        <v>3873</v>
      </c>
      <c r="B89">
        <v>28141</v>
      </c>
      <c r="C89">
        <v>-68</v>
      </c>
      <c r="D89">
        <v>0.06</v>
      </c>
      <c r="E89" t="s">
        <v>6</v>
      </c>
      <c r="F89" t="s">
        <v>166</v>
      </c>
    </row>
    <row r="90" spans="1:6" x14ac:dyDescent="0.2">
      <c r="A90">
        <v>31536</v>
      </c>
      <c r="B90">
        <v>15107</v>
      </c>
      <c r="C90">
        <v>-90</v>
      </c>
      <c r="D90">
        <v>0.93</v>
      </c>
      <c r="E90" t="s">
        <v>8</v>
      </c>
      <c r="F90" t="s">
        <v>166</v>
      </c>
    </row>
    <row r="91" spans="1:6" hidden="1" x14ac:dyDescent="0.2">
      <c r="A91">
        <v>45599</v>
      </c>
      <c r="B91">
        <v>38830</v>
      </c>
      <c r="C91">
        <v>-83</v>
      </c>
      <c r="D91">
        <v>1.51</v>
      </c>
      <c r="E91" t="s">
        <v>8</v>
      </c>
      <c r="F91" t="s">
        <v>166</v>
      </c>
    </row>
    <row r="92" spans="1:6" hidden="1" x14ac:dyDescent="0.2">
      <c r="A92">
        <v>1034</v>
      </c>
      <c r="B92">
        <v>12408</v>
      </c>
      <c r="C92">
        <v>-90</v>
      </c>
      <c r="D92">
        <v>5.94</v>
      </c>
      <c r="E92" t="s">
        <v>44</v>
      </c>
      <c r="F92" t="s">
        <v>166</v>
      </c>
    </row>
    <row r="93" spans="1:6" hidden="1" x14ac:dyDescent="0.2">
      <c r="A93">
        <v>3873</v>
      </c>
      <c r="B93">
        <v>28141</v>
      </c>
      <c r="C93">
        <v>-67</v>
      </c>
      <c r="D93">
        <v>0.05</v>
      </c>
      <c r="E93" t="s">
        <v>6</v>
      </c>
      <c r="F93" t="s">
        <v>165</v>
      </c>
    </row>
    <row r="94" spans="1:6" x14ac:dyDescent="0.2">
      <c r="A94">
        <v>31536</v>
      </c>
      <c r="B94">
        <v>15107</v>
      </c>
      <c r="C94">
        <v>-89</v>
      </c>
      <c r="D94">
        <v>0.9</v>
      </c>
      <c r="E94" t="s">
        <v>8</v>
      </c>
      <c r="F94" t="s">
        <v>165</v>
      </c>
    </row>
    <row r="95" spans="1:6" hidden="1" x14ac:dyDescent="0.2">
      <c r="A95">
        <v>45599</v>
      </c>
      <c r="B95">
        <v>38830</v>
      </c>
      <c r="C95">
        <v>-83</v>
      </c>
      <c r="D95">
        <v>1.49</v>
      </c>
      <c r="E95" t="s">
        <v>8</v>
      </c>
      <c r="F95" t="s">
        <v>165</v>
      </c>
    </row>
    <row r="96" spans="1:6" hidden="1" x14ac:dyDescent="0.2">
      <c r="A96">
        <v>1034</v>
      </c>
      <c r="B96">
        <v>12408</v>
      </c>
      <c r="C96">
        <v>-90</v>
      </c>
      <c r="D96">
        <v>5.94</v>
      </c>
      <c r="E96" t="s">
        <v>44</v>
      </c>
      <c r="F96" t="s">
        <v>165</v>
      </c>
    </row>
    <row r="97" spans="1:6" hidden="1" x14ac:dyDescent="0.2">
      <c r="A97">
        <v>3873</v>
      </c>
      <c r="B97">
        <v>28141</v>
      </c>
      <c r="C97">
        <v>-67</v>
      </c>
      <c r="D97">
        <v>0.05</v>
      </c>
      <c r="E97" t="s">
        <v>6</v>
      </c>
      <c r="F97" t="s">
        <v>164</v>
      </c>
    </row>
    <row r="98" spans="1:6" x14ac:dyDescent="0.2">
      <c r="A98">
        <v>31536</v>
      </c>
      <c r="B98">
        <v>15107</v>
      </c>
      <c r="C98">
        <v>-89</v>
      </c>
      <c r="D98">
        <v>0.88</v>
      </c>
      <c r="E98" t="s">
        <v>8</v>
      </c>
      <c r="F98" t="s">
        <v>164</v>
      </c>
    </row>
    <row r="99" spans="1:6" hidden="1" x14ac:dyDescent="0.2">
      <c r="A99">
        <v>45599</v>
      </c>
      <c r="B99">
        <v>38830</v>
      </c>
      <c r="C99">
        <v>-83</v>
      </c>
      <c r="D99">
        <v>1.46</v>
      </c>
      <c r="E99" t="s">
        <v>8</v>
      </c>
      <c r="F99" t="s">
        <v>164</v>
      </c>
    </row>
    <row r="100" spans="1:6" hidden="1" x14ac:dyDescent="0.2">
      <c r="A100">
        <v>1034</v>
      </c>
      <c r="B100">
        <v>12408</v>
      </c>
      <c r="C100">
        <v>-89</v>
      </c>
      <c r="D100">
        <v>5.89</v>
      </c>
      <c r="E100" t="s">
        <v>44</v>
      </c>
      <c r="F100" t="s">
        <v>164</v>
      </c>
    </row>
    <row r="101" spans="1:6" hidden="1" x14ac:dyDescent="0.2">
      <c r="A101">
        <v>3873</v>
      </c>
      <c r="B101">
        <v>28141</v>
      </c>
      <c r="C101">
        <v>-68</v>
      </c>
      <c r="D101">
        <v>0.05</v>
      </c>
      <c r="E101" t="s">
        <v>6</v>
      </c>
      <c r="F101" t="s">
        <v>163</v>
      </c>
    </row>
    <row r="102" spans="1:6" x14ac:dyDescent="0.2">
      <c r="A102">
        <v>31536</v>
      </c>
      <c r="B102">
        <v>15107</v>
      </c>
      <c r="C102">
        <v>-89</v>
      </c>
      <c r="D102">
        <v>0.87</v>
      </c>
      <c r="E102" t="s">
        <v>8</v>
      </c>
      <c r="F102" t="s">
        <v>163</v>
      </c>
    </row>
    <row r="103" spans="1:6" hidden="1" x14ac:dyDescent="0.2">
      <c r="A103">
        <v>45599</v>
      </c>
      <c r="B103">
        <v>38830</v>
      </c>
      <c r="C103">
        <v>-84</v>
      </c>
      <c r="D103">
        <v>1.46</v>
      </c>
      <c r="E103" t="s">
        <v>8</v>
      </c>
      <c r="F103" t="s">
        <v>163</v>
      </c>
    </row>
    <row r="104" spans="1:6" hidden="1" x14ac:dyDescent="0.2">
      <c r="A104">
        <v>1034</v>
      </c>
      <c r="B104">
        <v>12408</v>
      </c>
      <c r="C104">
        <v>-90</v>
      </c>
      <c r="D104">
        <v>5.9</v>
      </c>
      <c r="E104" t="s">
        <v>44</v>
      </c>
      <c r="F104" t="s">
        <v>163</v>
      </c>
    </row>
    <row r="105" spans="1:6" hidden="1" x14ac:dyDescent="0.2">
      <c r="A105">
        <v>3873</v>
      </c>
      <c r="B105">
        <v>28141</v>
      </c>
      <c r="C105">
        <v>-67</v>
      </c>
      <c r="D105">
        <v>0.05</v>
      </c>
      <c r="E105" t="s">
        <v>6</v>
      </c>
      <c r="F105" t="s">
        <v>162</v>
      </c>
    </row>
    <row r="106" spans="1:6" x14ac:dyDescent="0.2">
      <c r="A106">
        <v>31536</v>
      </c>
      <c r="B106">
        <v>15107</v>
      </c>
      <c r="C106">
        <v>-89</v>
      </c>
      <c r="D106">
        <v>0.86</v>
      </c>
      <c r="E106" t="s">
        <v>8</v>
      </c>
      <c r="F106" t="s">
        <v>162</v>
      </c>
    </row>
    <row r="107" spans="1:6" hidden="1" x14ac:dyDescent="0.2">
      <c r="A107">
        <v>45599</v>
      </c>
      <c r="B107">
        <v>38830</v>
      </c>
      <c r="C107">
        <v>-83</v>
      </c>
      <c r="D107">
        <v>1.44</v>
      </c>
      <c r="E107" t="s">
        <v>8</v>
      </c>
      <c r="F107" t="s">
        <v>162</v>
      </c>
    </row>
    <row r="108" spans="1:6" hidden="1" x14ac:dyDescent="0.2">
      <c r="A108">
        <v>1034</v>
      </c>
      <c r="B108">
        <v>12408</v>
      </c>
      <c r="C108">
        <v>-91</v>
      </c>
      <c r="D108">
        <v>5.95</v>
      </c>
      <c r="E108" t="s">
        <v>44</v>
      </c>
      <c r="F108" t="s">
        <v>162</v>
      </c>
    </row>
    <row r="109" spans="1:6" hidden="1" x14ac:dyDescent="0.2">
      <c r="A109">
        <v>3873</v>
      </c>
      <c r="B109">
        <v>28141</v>
      </c>
      <c r="C109">
        <v>-67</v>
      </c>
      <c r="D109">
        <v>0.05</v>
      </c>
      <c r="E109" t="s">
        <v>6</v>
      </c>
      <c r="F109" t="s">
        <v>161</v>
      </c>
    </row>
    <row r="110" spans="1:6" x14ac:dyDescent="0.2">
      <c r="A110">
        <v>31536</v>
      </c>
      <c r="B110">
        <v>15107</v>
      </c>
      <c r="C110">
        <v>-89</v>
      </c>
      <c r="D110">
        <v>0.84</v>
      </c>
      <c r="E110" t="s">
        <v>8</v>
      </c>
      <c r="F110" t="s">
        <v>161</v>
      </c>
    </row>
    <row r="111" spans="1:6" hidden="1" x14ac:dyDescent="0.2">
      <c r="A111">
        <v>45599</v>
      </c>
      <c r="B111">
        <v>38830</v>
      </c>
      <c r="C111">
        <v>-83</v>
      </c>
      <c r="D111">
        <v>1.43</v>
      </c>
      <c r="E111" t="s">
        <v>8</v>
      </c>
      <c r="F111" t="s">
        <v>161</v>
      </c>
    </row>
    <row r="112" spans="1:6" hidden="1" x14ac:dyDescent="0.2">
      <c r="A112">
        <v>1034</v>
      </c>
      <c r="B112">
        <v>12408</v>
      </c>
      <c r="C112">
        <v>-91</v>
      </c>
      <c r="D112">
        <v>5.99</v>
      </c>
      <c r="E112" t="s">
        <v>44</v>
      </c>
      <c r="F112" t="s">
        <v>161</v>
      </c>
    </row>
    <row r="113" spans="1:6" hidden="1" x14ac:dyDescent="0.2">
      <c r="A113">
        <v>3873</v>
      </c>
      <c r="B113">
        <v>28141</v>
      </c>
      <c r="C113">
        <v>-67</v>
      </c>
      <c r="D113">
        <v>0.05</v>
      </c>
      <c r="E113" t="s">
        <v>6</v>
      </c>
      <c r="F113" t="s">
        <v>160</v>
      </c>
    </row>
    <row r="114" spans="1:6" x14ac:dyDescent="0.2">
      <c r="A114">
        <v>31536</v>
      </c>
      <c r="B114">
        <v>15107</v>
      </c>
      <c r="C114">
        <v>-90</v>
      </c>
      <c r="D114">
        <v>0.85</v>
      </c>
      <c r="E114" t="s">
        <v>8</v>
      </c>
      <c r="F114" t="s">
        <v>160</v>
      </c>
    </row>
    <row r="115" spans="1:6" hidden="1" x14ac:dyDescent="0.2">
      <c r="A115">
        <v>45599</v>
      </c>
      <c r="B115">
        <v>38830</v>
      </c>
      <c r="C115">
        <v>-84</v>
      </c>
      <c r="D115">
        <v>1.43</v>
      </c>
      <c r="E115" t="s">
        <v>8</v>
      </c>
      <c r="F115" t="s">
        <v>160</v>
      </c>
    </row>
    <row r="116" spans="1:6" hidden="1" x14ac:dyDescent="0.2">
      <c r="A116">
        <v>1034</v>
      </c>
      <c r="B116">
        <v>12408</v>
      </c>
      <c r="C116">
        <v>-90</v>
      </c>
      <c r="D116">
        <v>5.99</v>
      </c>
      <c r="E116" t="s">
        <v>44</v>
      </c>
      <c r="F116" t="s">
        <v>160</v>
      </c>
    </row>
    <row r="117" spans="1:6" hidden="1" x14ac:dyDescent="0.2">
      <c r="A117">
        <v>3873</v>
      </c>
      <c r="B117">
        <v>28141</v>
      </c>
      <c r="C117">
        <v>-68</v>
      </c>
      <c r="D117">
        <v>0.05</v>
      </c>
      <c r="E117" t="s">
        <v>6</v>
      </c>
      <c r="F117" t="s">
        <v>159</v>
      </c>
    </row>
    <row r="118" spans="1:6" x14ac:dyDescent="0.2">
      <c r="A118">
        <v>31536</v>
      </c>
      <c r="B118">
        <v>15107</v>
      </c>
      <c r="C118">
        <v>-90</v>
      </c>
      <c r="D118">
        <v>0.85</v>
      </c>
      <c r="E118" t="s">
        <v>8</v>
      </c>
      <c r="F118" t="s">
        <v>159</v>
      </c>
    </row>
    <row r="119" spans="1:6" hidden="1" x14ac:dyDescent="0.2">
      <c r="A119">
        <v>45599</v>
      </c>
      <c r="B119">
        <v>38830</v>
      </c>
      <c r="C119">
        <v>-86</v>
      </c>
      <c r="D119">
        <v>1.47</v>
      </c>
      <c r="E119" t="s">
        <v>8</v>
      </c>
      <c r="F119" t="s">
        <v>159</v>
      </c>
    </row>
    <row r="120" spans="1:6" hidden="1" x14ac:dyDescent="0.2">
      <c r="A120">
        <v>1034</v>
      </c>
      <c r="B120">
        <v>12408</v>
      </c>
      <c r="C120">
        <v>-92</v>
      </c>
      <c r="D120">
        <v>6.07</v>
      </c>
      <c r="E120" t="s">
        <v>44</v>
      </c>
      <c r="F120" t="s">
        <v>159</v>
      </c>
    </row>
    <row r="121" spans="1:6" hidden="1" x14ac:dyDescent="0.2">
      <c r="A121">
        <v>3873</v>
      </c>
      <c r="B121">
        <v>28141</v>
      </c>
      <c r="C121">
        <v>-66</v>
      </c>
      <c r="D121">
        <v>0.05</v>
      </c>
      <c r="E121" t="s">
        <v>6</v>
      </c>
      <c r="F121" t="s">
        <v>158</v>
      </c>
    </row>
    <row r="122" spans="1:6" x14ac:dyDescent="0.2">
      <c r="A122">
        <v>31536</v>
      </c>
      <c r="B122">
        <v>15107</v>
      </c>
      <c r="C122">
        <v>-91</v>
      </c>
      <c r="D122">
        <v>0.87</v>
      </c>
      <c r="E122" t="s">
        <v>8</v>
      </c>
      <c r="F122" t="s">
        <v>158</v>
      </c>
    </row>
    <row r="123" spans="1:6" hidden="1" x14ac:dyDescent="0.2">
      <c r="A123">
        <v>45599</v>
      </c>
      <c r="B123">
        <v>38830</v>
      </c>
      <c r="C123">
        <v>-85</v>
      </c>
      <c r="D123">
        <v>1.49</v>
      </c>
      <c r="E123" t="s">
        <v>8</v>
      </c>
      <c r="F123" t="s">
        <v>158</v>
      </c>
    </row>
    <row r="124" spans="1:6" hidden="1" x14ac:dyDescent="0.2">
      <c r="A124">
        <v>1034</v>
      </c>
      <c r="B124">
        <v>12408</v>
      </c>
      <c r="C124">
        <v>-92</v>
      </c>
      <c r="D124">
        <v>6.15</v>
      </c>
      <c r="E124" t="s">
        <v>44</v>
      </c>
      <c r="F124" t="s">
        <v>158</v>
      </c>
    </row>
    <row r="125" spans="1:6" hidden="1" x14ac:dyDescent="0.2">
      <c r="A125">
        <v>3873</v>
      </c>
      <c r="B125">
        <v>28141</v>
      </c>
      <c r="C125">
        <v>-66</v>
      </c>
      <c r="D125">
        <v>0.04</v>
      </c>
      <c r="E125" t="s">
        <v>6</v>
      </c>
      <c r="F125" t="s">
        <v>157</v>
      </c>
    </row>
    <row r="126" spans="1:6" x14ac:dyDescent="0.2">
      <c r="A126">
        <v>31536</v>
      </c>
      <c r="B126">
        <v>15107</v>
      </c>
      <c r="C126">
        <v>-91</v>
      </c>
      <c r="D126">
        <v>0.88</v>
      </c>
      <c r="E126" t="s">
        <v>8</v>
      </c>
      <c r="F126" t="s">
        <v>157</v>
      </c>
    </row>
    <row r="127" spans="1:6" hidden="1" x14ac:dyDescent="0.2">
      <c r="A127">
        <v>45599</v>
      </c>
      <c r="B127">
        <v>38830</v>
      </c>
      <c r="C127">
        <v>-84</v>
      </c>
      <c r="D127">
        <v>1.48</v>
      </c>
      <c r="E127" t="s">
        <v>8</v>
      </c>
      <c r="F127" t="s">
        <v>157</v>
      </c>
    </row>
    <row r="128" spans="1:6" hidden="1" x14ac:dyDescent="0.2">
      <c r="A128">
        <v>1034</v>
      </c>
      <c r="B128">
        <v>12408</v>
      </c>
      <c r="C128">
        <v>-89</v>
      </c>
      <c r="D128">
        <v>6.09</v>
      </c>
      <c r="E128" t="s">
        <v>44</v>
      </c>
      <c r="F128" t="s">
        <v>157</v>
      </c>
    </row>
    <row r="129" spans="1:6" hidden="1" x14ac:dyDescent="0.2">
      <c r="A129">
        <v>3873</v>
      </c>
      <c r="B129">
        <v>28141</v>
      </c>
      <c r="C129">
        <v>-66</v>
      </c>
      <c r="D129">
        <v>0.04</v>
      </c>
      <c r="E129" t="s">
        <v>6</v>
      </c>
      <c r="F129" t="s">
        <v>156</v>
      </c>
    </row>
    <row r="130" spans="1:6" x14ac:dyDescent="0.2">
      <c r="A130">
        <v>31536</v>
      </c>
      <c r="B130">
        <v>15107</v>
      </c>
      <c r="C130">
        <v>-91</v>
      </c>
      <c r="D130">
        <v>0.9</v>
      </c>
      <c r="E130" t="s">
        <v>8</v>
      </c>
      <c r="F130" t="s">
        <v>156</v>
      </c>
    </row>
    <row r="131" spans="1:6" hidden="1" x14ac:dyDescent="0.2">
      <c r="A131">
        <v>45599</v>
      </c>
      <c r="B131">
        <v>38830</v>
      </c>
      <c r="C131">
        <v>-83</v>
      </c>
      <c r="D131">
        <v>1.46</v>
      </c>
      <c r="E131" t="s">
        <v>8</v>
      </c>
      <c r="F131" t="s">
        <v>156</v>
      </c>
    </row>
    <row r="132" spans="1:6" hidden="1" x14ac:dyDescent="0.2">
      <c r="A132">
        <v>1034</v>
      </c>
      <c r="B132">
        <v>12408</v>
      </c>
      <c r="C132">
        <v>-89</v>
      </c>
      <c r="D132">
        <v>6.04</v>
      </c>
      <c r="E132" t="s">
        <v>44</v>
      </c>
      <c r="F132" t="s">
        <v>156</v>
      </c>
    </row>
    <row r="133" spans="1:6" hidden="1" x14ac:dyDescent="0.2">
      <c r="A133">
        <v>3873</v>
      </c>
      <c r="B133">
        <v>28141</v>
      </c>
      <c r="C133">
        <v>-67</v>
      </c>
      <c r="D133">
        <v>0.04</v>
      </c>
      <c r="E133" t="s">
        <v>6</v>
      </c>
      <c r="F133" t="s">
        <v>155</v>
      </c>
    </row>
    <row r="134" spans="1:6" x14ac:dyDescent="0.2">
      <c r="A134">
        <v>31536</v>
      </c>
      <c r="B134">
        <v>15107</v>
      </c>
      <c r="C134">
        <v>-90</v>
      </c>
      <c r="D134">
        <v>0.9</v>
      </c>
      <c r="E134" t="s">
        <v>8</v>
      </c>
      <c r="F134" t="s">
        <v>155</v>
      </c>
    </row>
    <row r="135" spans="1:6" hidden="1" x14ac:dyDescent="0.2">
      <c r="A135">
        <v>45599</v>
      </c>
      <c r="B135">
        <v>38830</v>
      </c>
      <c r="C135">
        <v>-83</v>
      </c>
      <c r="D135">
        <v>1.44</v>
      </c>
      <c r="E135" t="s">
        <v>8</v>
      </c>
      <c r="F135" t="s">
        <v>155</v>
      </c>
    </row>
    <row r="136" spans="1:6" hidden="1" x14ac:dyDescent="0.2">
      <c r="A136">
        <v>1034</v>
      </c>
      <c r="B136">
        <v>12408</v>
      </c>
      <c r="C136">
        <v>-89</v>
      </c>
      <c r="D136">
        <v>5.99</v>
      </c>
      <c r="E136" t="s">
        <v>44</v>
      </c>
      <c r="F136" t="s">
        <v>155</v>
      </c>
    </row>
    <row r="137" spans="1:6" hidden="1" x14ac:dyDescent="0.2">
      <c r="A137">
        <v>3873</v>
      </c>
      <c r="B137">
        <v>28141</v>
      </c>
      <c r="C137">
        <v>-69</v>
      </c>
      <c r="D137">
        <v>0.05</v>
      </c>
      <c r="E137" t="s">
        <v>6</v>
      </c>
      <c r="F137" t="s">
        <v>154</v>
      </c>
    </row>
    <row r="138" spans="1:6" x14ac:dyDescent="0.2">
      <c r="A138">
        <v>31536</v>
      </c>
      <c r="B138">
        <v>15107</v>
      </c>
      <c r="C138">
        <v>-90</v>
      </c>
      <c r="D138">
        <v>0.89</v>
      </c>
      <c r="E138" t="s">
        <v>8</v>
      </c>
      <c r="F138" t="s">
        <v>154</v>
      </c>
    </row>
    <row r="139" spans="1:6" hidden="1" x14ac:dyDescent="0.2">
      <c r="A139">
        <v>45599</v>
      </c>
      <c r="B139">
        <v>38830</v>
      </c>
      <c r="C139">
        <v>-83</v>
      </c>
      <c r="D139">
        <v>1.43</v>
      </c>
      <c r="E139" t="s">
        <v>8</v>
      </c>
      <c r="F139" t="s">
        <v>154</v>
      </c>
    </row>
    <row r="140" spans="1:6" hidden="1" x14ac:dyDescent="0.2">
      <c r="A140">
        <v>2</v>
      </c>
      <c r="B140">
        <v>57382</v>
      </c>
      <c r="C140">
        <v>-94</v>
      </c>
      <c r="D140">
        <v>5.27</v>
      </c>
      <c r="E140" t="s">
        <v>44</v>
      </c>
      <c r="F140" t="s">
        <v>154</v>
      </c>
    </row>
    <row r="141" spans="1:6" hidden="1" x14ac:dyDescent="0.2">
      <c r="A141">
        <v>1034</v>
      </c>
      <c r="B141">
        <v>12408</v>
      </c>
      <c r="C141">
        <v>-91</v>
      </c>
      <c r="D141">
        <v>6.03</v>
      </c>
      <c r="E141" t="s">
        <v>44</v>
      </c>
      <c r="F141" t="s">
        <v>154</v>
      </c>
    </row>
    <row r="142" spans="1:6" hidden="1" x14ac:dyDescent="0.2">
      <c r="A142">
        <v>3873</v>
      </c>
      <c r="B142">
        <v>28141</v>
      </c>
      <c r="C142">
        <v>-69</v>
      </c>
      <c r="D142">
        <v>0.05</v>
      </c>
      <c r="E142" t="s">
        <v>6</v>
      </c>
      <c r="F142" t="s">
        <v>153</v>
      </c>
    </row>
    <row r="143" spans="1:6" x14ac:dyDescent="0.2">
      <c r="A143">
        <v>31536</v>
      </c>
      <c r="B143">
        <v>15107</v>
      </c>
      <c r="C143">
        <v>-91</v>
      </c>
      <c r="D143">
        <v>0.91</v>
      </c>
      <c r="E143" t="s">
        <v>8</v>
      </c>
      <c r="F143" t="s">
        <v>153</v>
      </c>
    </row>
    <row r="144" spans="1:6" hidden="1" x14ac:dyDescent="0.2">
      <c r="A144">
        <v>45599</v>
      </c>
      <c r="B144">
        <v>38830</v>
      </c>
      <c r="C144">
        <v>-85</v>
      </c>
      <c r="D144">
        <v>1.45</v>
      </c>
      <c r="E144" t="s">
        <v>8</v>
      </c>
      <c r="F144" t="s">
        <v>153</v>
      </c>
    </row>
    <row r="145" spans="1:6" hidden="1" x14ac:dyDescent="0.2">
      <c r="A145">
        <v>2</v>
      </c>
      <c r="B145">
        <v>57382</v>
      </c>
      <c r="C145">
        <v>-95</v>
      </c>
      <c r="D145">
        <v>5.73</v>
      </c>
      <c r="E145" t="s">
        <v>44</v>
      </c>
      <c r="F145" t="s">
        <v>153</v>
      </c>
    </row>
    <row r="146" spans="1:6" hidden="1" x14ac:dyDescent="0.2">
      <c r="A146">
        <v>1034</v>
      </c>
      <c r="B146">
        <v>12408</v>
      </c>
      <c r="C146">
        <v>-92</v>
      </c>
      <c r="D146">
        <v>6.11</v>
      </c>
      <c r="E146" t="s">
        <v>44</v>
      </c>
      <c r="F146" t="s">
        <v>152</v>
      </c>
    </row>
    <row r="147" spans="1:6" hidden="1" x14ac:dyDescent="0.2">
      <c r="A147">
        <v>2</v>
      </c>
      <c r="B147">
        <v>57382</v>
      </c>
      <c r="C147">
        <v>0</v>
      </c>
      <c r="D147">
        <v>-1</v>
      </c>
      <c r="F147" t="s">
        <v>152</v>
      </c>
    </row>
    <row r="148" spans="1:6" hidden="1" x14ac:dyDescent="0.2">
      <c r="A148">
        <v>3873</v>
      </c>
      <c r="B148">
        <v>28141</v>
      </c>
      <c r="C148">
        <v>-69</v>
      </c>
      <c r="D148">
        <v>0.06</v>
      </c>
      <c r="E148" t="s">
        <v>6</v>
      </c>
      <c r="F148" t="s">
        <v>152</v>
      </c>
    </row>
    <row r="149" spans="1:6" x14ac:dyDescent="0.2">
      <c r="A149">
        <v>31536</v>
      </c>
      <c r="B149">
        <v>15107</v>
      </c>
      <c r="C149">
        <v>-90</v>
      </c>
      <c r="D149">
        <v>0.9</v>
      </c>
      <c r="E149" t="s">
        <v>8</v>
      </c>
      <c r="F149" t="s">
        <v>152</v>
      </c>
    </row>
    <row r="150" spans="1:6" hidden="1" x14ac:dyDescent="0.2">
      <c r="A150">
        <v>45599</v>
      </c>
      <c r="B150">
        <v>38830</v>
      </c>
      <c r="C150">
        <v>-82</v>
      </c>
      <c r="D150">
        <v>1.41</v>
      </c>
      <c r="E150" t="s">
        <v>8</v>
      </c>
      <c r="F150" t="s">
        <v>152</v>
      </c>
    </row>
    <row r="151" spans="1:6" hidden="1" x14ac:dyDescent="0.2">
      <c r="A151">
        <v>1034</v>
      </c>
      <c r="B151">
        <v>12408</v>
      </c>
      <c r="C151">
        <v>-91</v>
      </c>
      <c r="D151">
        <v>6.14</v>
      </c>
      <c r="E151" t="s">
        <v>44</v>
      </c>
      <c r="F151" t="s">
        <v>152</v>
      </c>
    </row>
    <row r="152" spans="1:6" hidden="1" x14ac:dyDescent="0.2">
      <c r="A152">
        <v>2</v>
      </c>
      <c r="B152">
        <v>57382</v>
      </c>
      <c r="C152">
        <v>0</v>
      </c>
      <c r="D152">
        <v>-1</v>
      </c>
      <c r="F152" t="s">
        <v>151</v>
      </c>
    </row>
    <row r="153" spans="1:6" hidden="1" x14ac:dyDescent="0.2">
      <c r="A153">
        <v>3873</v>
      </c>
      <c r="B153">
        <v>28141</v>
      </c>
      <c r="C153">
        <v>-69</v>
      </c>
      <c r="D153">
        <v>0.06</v>
      </c>
      <c r="E153" t="s">
        <v>6</v>
      </c>
      <c r="F153" t="s">
        <v>151</v>
      </c>
    </row>
    <row r="154" spans="1:6" x14ac:dyDescent="0.2">
      <c r="A154">
        <v>31536</v>
      </c>
      <c r="B154">
        <v>15107</v>
      </c>
      <c r="C154">
        <v>-90</v>
      </c>
      <c r="D154">
        <v>0.9</v>
      </c>
      <c r="E154" t="s">
        <v>8</v>
      </c>
      <c r="F154" t="s">
        <v>151</v>
      </c>
    </row>
    <row r="155" spans="1:6" hidden="1" x14ac:dyDescent="0.2">
      <c r="A155">
        <v>45599</v>
      </c>
      <c r="B155">
        <v>38830</v>
      </c>
      <c r="C155">
        <v>-82</v>
      </c>
      <c r="D155">
        <v>1.37</v>
      </c>
      <c r="E155" t="s">
        <v>8</v>
      </c>
      <c r="F155" t="s">
        <v>151</v>
      </c>
    </row>
    <row r="156" spans="1:6" hidden="1" x14ac:dyDescent="0.2">
      <c r="A156">
        <v>1034</v>
      </c>
      <c r="B156">
        <v>12408</v>
      </c>
      <c r="C156">
        <v>-90</v>
      </c>
      <c r="D156">
        <v>6.13</v>
      </c>
      <c r="E156" t="s">
        <v>44</v>
      </c>
      <c r="F156" t="s">
        <v>150</v>
      </c>
    </row>
    <row r="157" spans="1:6" hidden="1" x14ac:dyDescent="0.2">
      <c r="A157">
        <v>3873</v>
      </c>
      <c r="B157">
        <v>28141</v>
      </c>
      <c r="C157">
        <v>-68</v>
      </c>
      <c r="D157">
        <v>0.06</v>
      </c>
      <c r="E157" t="s">
        <v>6</v>
      </c>
      <c r="F157" t="s">
        <v>150</v>
      </c>
    </row>
    <row r="158" spans="1:6" x14ac:dyDescent="0.2">
      <c r="A158">
        <v>31536</v>
      </c>
      <c r="B158">
        <v>15107</v>
      </c>
      <c r="C158">
        <v>-89</v>
      </c>
      <c r="D158">
        <v>0.88</v>
      </c>
      <c r="E158" t="s">
        <v>8</v>
      </c>
      <c r="F158" t="s">
        <v>150</v>
      </c>
    </row>
    <row r="159" spans="1:6" hidden="1" x14ac:dyDescent="0.2">
      <c r="A159">
        <v>45599</v>
      </c>
      <c r="B159">
        <v>38830</v>
      </c>
      <c r="C159">
        <v>-82</v>
      </c>
      <c r="D159">
        <v>1.34</v>
      </c>
      <c r="E159" t="s">
        <v>8</v>
      </c>
      <c r="F159" t="s">
        <v>150</v>
      </c>
    </row>
    <row r="160" spans="1:6" hidden="1" x14ac:dyDescent="0.2">
      <c r="A160">
        <v>2</v>
      </c>
      <c r="B160">
        <v>57382</v>
      </c>
      <c r="C160">
        <v>-95</v>
      </c>
      <c r="D160">
        <v>5.83</v>
      </c>
      <c r="E160" t="s">
        <v>44</v>
      </c>
      <c r="F160" t="s">
        <v>150</v>
      </c>
    </row>
    <row r="161" spans="1:6" hidden="1" x14ac:dyDescent="0.2">
      <c r="A161">
        <v>1034</v>
      </c>
      <c r="B161">
        <v>12408</v>
      </c>
      <c r="C161">
        <v>-90</v>
      </c>
      <c r="D161">
        <v>6.12</v>
      </c>
      <c r="E161" t="s">
        <v>44</v>
      </c>
      <c r="F161" t="s">
        <v>150</v>
      </c>
    </row>
    <row r="162" spans="1:6" hidden="1" x14ac:dyDescent="0.2">
      <c r="A162">
        <v>3873</v>
      </c>
      <c r="B162">
        <v>28141</v>
      </c>
      <c r="C162">
        <v>-67</v>
      </c>
      <c r="D162">
        <v>0.05</v>
      </c>
      <c r="E162" t="s">
        <v>6</v>
      </c>
      <c r="F162" t="s">
        <v>149</v>
      </c>
    </row>
    <row r="163" spans="1:6" x14ac:dyDescent="0.2">
      <c r="A163">
        <v>31536</v>
      </c>
      <c r="B163">
        <v>15107</v>
      </c>
      <c r="C163">
        <v>-89</v>
      </c>
      <c r="D163">
        <v>0.87</v>
      </c>
      <c r="E163" t="s">
        <v>8</v>
      </c>
      <c r="F163" t="s">
        <v>149</v>
      </c>
    </row>
    <row r="164" spans="1:6" hidden="1" x14ac:dyDescent="0.2">
      <c r="A164">
        <v>45599</v>
      </c>
      <c r="B164">
        <v>38830</v>
      </c>
      <c r="C164">
        <v>-84</v>
      </c>
      <c r="D164">
        <v>1.36</v>
      </c>
      <c r="E164" t="s">
        <v>8</v>
      </c>
      <c r="F164" t="s">
        <v>149</v>
      </c>
    </row>
    <row r="165" spans="1:6" hidden="1" x14ac:dyDescent="0.2">
      <c r="A165">
        <v>2</v>
      </c>
      <c r="B165">
        <v>57382</v>
      </c>
      <c r="C165">
        <v>-92</v>
      </c>
      <c r="D165">
        <v>5.05</v>
      </c>
      <c r="E165" t="s">
        <v>44</v>
      </c>
      <c r="F165" t="s">
        <v>149</v>
      </c>
    </row>
    <row r="166" spans="1:6" hidden="1" x14ac:dyDescent="0.2">
      <c r="A166">
        <v>1034</v>
      </c>
      <c r="B166">
        <v>12408</v>
      </c>
      <c r="C166">
        <v>-89</v>
      </c>
      <c r="D166">
        <v>6.07</v>
      </c>
      <c r="E166" t="s">
        <v>44</v>
      </c>
      <c r="F166" t="s">
        <v>149</v>
      </c>
    </row>
    <row r="167" spans="1:6" hidden="1" x14ac:dyDescent="0.2">
      <c r="A167">
        <v>2</v>
      </c>
      <c r="B167">
        <v>57382</v>
      </c>
      <c r="C167">
        <v>0</v>
      </c>
      <c r="D167">
        <v>-1</v>
      </c>
      <c r="F167" t="s">
        <v>148</v>
      </c>
    </row>
    <row r="168" spans="1:6" hidden="1" x14ac:dyDescent="0.2">
      <c r="A168">
        <v>3873</v>
      </c>
      <c r="B168">
        <v>28141</v>
      </c>
      <c r="C168">
        <v>-68</v>
      </c>
      <c r="D168">
        <v>0.05</v>
      </c>
      <c r="E168" t="s">
        <v>6</v>
      </c>
      <c r="F168" t="s">
        <v>148</v>
      </c>
    </row>
    <row r="169" spans="1:6" x14ac:dyDescent="0.2">
      <c r="A169">
        <v>31536</v>
      </c>
      <c r="B169">
        <v>15107</v>
      </c>
      <c r="C169">
        <v>-88</v>
      </c>
      <c r="D169">
        <v>0.84</v>
      </c>
      <c r="E169" t="s">
        <v>8</v>
      </c>
      <c r="F169" t="s">
        <v>148</v>
      </c>
    </row>
    <row r="170" spans="1:6" hidden="1" x14ac:dyDescent="0.2">
      <c r="A170">
        <v>45599</v>
      </c>
      <c r="B170">
        <v>38830</v>
      </c>
      <c r="C170">
        <v>-83</v>
      </c>
      <c r="D170">
        <v>1.35</v>
      </c>
      <c r="E170" t="s">
        <v>8</v>
      </c>
      <c r="F170" t="s">
        <v>148</v>
      </c>
    </row>
    <row r="171" spans="1:6" hidden="1" x14ac:dyDescent="0.2">
      <c r="A171">
        <v>1034</v>
      </c>
      <c r="B171">
        <v>12408</v>
      </c>
      <c r="C171">
        <v>-90</v>
      </c>
      <c r="D171">
        <v>6.07</v>
      </c>
      <c r="E171" t="s">
        <v>44</v>
      </c>
      <c r="F171" t="s">
        <v>148</v>
      </c>
    </row>
    <row r="172" spans="1:6" hidden="1" x14ac:dyDescent="0.2">
      <c r="A172">
        <v>2</v>
      </c>
      <c r="B172">
        <v>57382</v>
      </c>
      <c r="C172">
        <v>0</v>
      </c>
      <c r="D172">
        <v>-1</v>
      </c>
      <c r="F172" t="s">
        <v>147</v>
      </c>
    </row>
    <row r="173" spans="1:6" hidden="1" x14ac:dyDescent="0.2">
      <c r="A173">
        <v>3873</v>
      </c>
      <c r="B173">
        <v>28141</v>
      </c>
      <c r="C173">
        <v>-69</v>
      </c>
      <c r="D173">
        <v>0.06</v>
      </c>
      <c r="E173" t="s">
        <v>6</v>
      </c>
      <c r="F173" t="s">
        <v>147</v>
      </c>
    </row>
    <row r="174" spans="1:6" x14ac:dyDescent="0.2">
      <c r="A174">
        <v>31536</v>
      </c>
      <c r="B174">
        <v>15107</v>
      </c>
      <c r="C174">
        <v>-90</v>
      </c>
      <c r="D174">
        <v>0.84</v>
      </c>
      <c r="E174" t="s">
        <v>8</v>
      </c>
      <c r="F174" t="s">
        <v>147</v>
      </c>
    </row>
    <row r="175" spans="1:6" hidden="1" x14ac:dyDescent="0.2">
      <c r="A175">
        <v>45599</v>
      </c>
      <c r="B175">
        <v>38830</v>
      </c>
      <c r="C175">
        <v>-83</v>
      </c>
      <c r="D175">
        <v>1.34</v>
      </c>
      <c r="E175" t="s">
        <v>8</v>
      </c>
      <c r="F175" t="s">
        <v>147</v>
      </c>
    </row>
    <row r="176" spans="1:6" hidden="1" x14ac:dyDescent="0.2">
      <c r="A176">
        <v>1034</v>
      </c>
      <c r="B176">
        <v>12408</v>
      </c>
      <c r="C176">
        <v>-90</v>
      </c>
      <c r="D176">
        <v>6.06</v>
      </c>
      <c r="E176" t="s">
        <v>44</v>
      </c>
      <c r="F176" t="s">
        <v>147</v>
      </c>
    </row>
    <row r="177" spans="1:6" hidden="1" x14ac:dyDescent="0.2">
      <c r="A177">
        <v>2</v>
      </c>
      <c r="B177">
        <v>57382</v>
      </c>
      <c r="C177">
        <v>0</v>
      </c>
      <c r="D177">
        <v>-1</v>
      </c>
      <c r="F177" t="s">
        <v>146</v>
      </c>
    </row>
    <row r="178" spans="1:6" hidden="1" x14ac:dyDescent="0.2">
      <c r="A178">
        <v>3873</v>
      </c>
      <c r="B178">
        <v>28141</v>
      </c>
      <c r="C178">
        <v>-68</v>
      </c>
      <c r="D178">
        <v>0.05</v>
      </c>
      <c r="E178" t="s">
        <v>6</v>
      </c>
      <c r="F178" t="s">
        <v>146</v>
      </c>
    </row>
    <row r="179" spans="1:6" x14ac:dyDescent="0.2">
      <c r="A179">
        <v>31536</v>
      </c>
      <c r="B179">
        <v>15107</v>
      </c>
      <c r="C179">
        <v>-91</v>
      </c>
      <c r="D179">
        <v>0.86</v>
      </c>
      <c r="E179" t="s">
        <v>8</v>
      </c>
      <c r="F179" t="s">
        <v>146</v>
      </c>
    </row>
    <row r="180" spans="1:6" hidden="1" x14ac:dyDescent="0.2">
      <c r="A180">
        <v>45599</v>
      </c>
      <c r="B180">
        <v>38830</v>
      </c>
      <c r="C180">
        <v>-83</v>
      </c>
      <c r="D180">
        <v>1.34</v>
      </c>
      <c r="E180" t="s">
        <v>8</v>
      </c>
      <c r="F180" t="s">
        <v>146</v>
      </c>
    </row>
    <row r="181" spans="1:6" hidden="1" x14ac:dyDescent="0.2">
      <c r="A181">
        <v>1034</v>
      </c>
      <c r="B181">
        <v>12408</v>
      </c>
      <c r="C181">
        <v>-91</v>
      </c>
      <c r="D181">
        <v>6.1</v>
      </c>
      <c r="E181" t="s">
        <v>44</v>
      </c>
      <c r="F181" t="s">
        <v>146</v>
      </c>
    </row>
    <row r="182" spans="1:6" hidden="1" x14ac:dyDescent="0.2">
      <c r="A182">
        <v>2</v>
      </c>
      <c r="B182">
        <v>57382</v>
      </c>
      <c r="C182">
        <v>0</v>
      </c>
      <c r="D182">
        <v>-1</v>
      </c>
      <c r="F182" t="s">
        <v>145</v>
      </c>
    </row>
    <row r="183" spans="1:6" hidden="1" x14ac:dyDescent="0.2">
      <c r="A183">
        <v>3873</v>
      </c>
      <c r="B183">
        <v>28141</v>
      </c>
      <c r="C183">
        <v>-68</v>
      </c>
      <c r="D183">
        <v>0.05</v>
      </c>
      <c r="E183" t="s">
        <v>6</v>
      </c>
      <c r="F183" t="s">
        <v>145</v>
      </c>
    </row>
    <row r="184" spans="1:6" x14ac:dyDescent="0.2">
      <c r="A184">
        <v>31536</v>
      </c>
      <c r="B184">
        <v>15107</v>
      </c>
      <c r="C184">
        <v>-89</v>
      </c>
      <c r="D184">
        <v>0.85</v>
      </c>
      <c r="E184" t="s">
        <v>8</v>
      </c>
      <c r="F184" t="s">
        <v>145</v>
      </c>
    </row>
    <row r="185" spans="1:6" hidden="1" x14ac:dyDescent="0.2">
      <c r="A185">
        <v>45599</v>
      </c>
      <c r="B185">
        <v>38830</v>
      </c>
      <c r="C185">
        <v>-83</v>
      </c>
      <c r="D185">
        <v>1.33</v>
      </c>
      <c r="E185" t="s">
        <v>8</v>
      </c>
      <c r="F185" t="s">
        <v>145</v>
      </c>
    </row>
    <row r="186" spans="1:6" hidden="1" x14ac:dyDescent="0.2">
      <c r="A186">
        <v>1034</v>
      </c>
      <c r="B186">
        <v>12408</v>
      </c>
      <c r="C186">
        <v>-91</v>
      </c>
      <c r="D186">
        <v>6.13</v>
      </c>
      <c r="E186" t="s">
        <v>44</v>
      </c>
      <c r="F186" t="s">
        <v>145</v>
      </c>
    </row>
    <row r="187" spans="1:6" hidden="1" x14ac:dyDescent="0.2">
      <c r="A187">
        <v>2</v>
      </c>
      <c r="B187">
        <v>57382</v>
      </c>
      <c r="C187">
        <v>0</v>
      </c>
      <c r="D187">
        <v>-1</v>
      </c>
      <c r="F187" t="s">
        <v>144</v>
      </c>
    </row>
    <row r="188" spans="1:6" hidden="1" x14ac:dyDescent="0.2">
      <c r="A188">
        <v>3873</v>
      </c>
      <c r="B188">
        <v>28141</v>
      </c>
      <c r="C188">
        <v>-68</v>
      </c>
      <c r="D188">
        <v>0.05</v>
      </c>
      <c r="E188" t="s">
        <v>6</v>
      </c>
      <c r="F188" t="s">
        <v>144</v>
      </c>
    </row>
    <row r="189" spans="1:6" x14ac:dyDescent="0.2">
      <c r="A189">
        <v>31536</v>
      </c>
      <c r="B189">
        <v>15107</v>
      </c>
      <c r="C189">
        <v>-90</v>
      </c>
      <c r="D189">
        <v>0.85</v>
      </c>
      <c r="E189" t="s">
        <v>8</v>
      </c>
      <c r="F189" t="s">
        <v>144</v>
      </c>
    </row>
    <row r="190" spans="1:6" hidden="1" x14ac:dyDescent="0.2">
      <c r="A190">
        <v>45599</v>
      </c>
      <c r="B190">
        <v>38830</v>
      </c>
      <c r="C190">
        <v>-83</v>
      </c>
      <c r="D190">
        <v>1.33</v>
      </c>
      <c r="E190" t="s">
        <v>8</v>
      </c>
      <c r="F190" t="s">
        <v>144</v>
      </c>
    </row>
    <row r="191" spans="1:6" hidden="1" x14ac:dyDescent="0.2">
      <c r="A191">
        <v>1034</v>
      </c>
      <c r="B191">
        <v>12408</v>
      </c>
      <c r="C191">
        <v>-90</v>
      </c>
      <c r="D191">
        <v>6.13</v>
      </c>
      <c r="E191" t="s">
        <v>44</v>
      </c>
      <c r="F191" t="s">
        <v>144</v>
      </c>
    </row>
    <row r="192" spans="1:6" hidden="1" x14ac:dyDescent="0.2">
      <c r="A192">
        <v>3873</v>
      </c>
      <c r="B192">
        <v>28141</v>
      </c>
      <c r="C192">
        <v>-69</v>
      </c>
      <c r="D192">
        <v>0.06</v>
      </c>
      <c r="E192" t="s">
        <v>6</v>
      </c>
      <c r="F192" t="s">
        <v>143</v>
      </c>
    </row>
    <row r="193" spans="1:6" x14ac:dyDescent="0.2">
      <c r="A193">
        <v>31536</v>
      </c>
      <c r="B193">
        <v>15107</v>
      </c>
      <c r="C193">
        <v>-90</v>
      </c>
      <c r="D193">
        <v>0.86</v>
      </c>
      <c r="E193" t="s">
        <v>8</v>
      </c>
      <c r="F193" t="s">
        <v>143</v>
      </c>
    </row>
    <row r="194" spans="1:6" hidden="1" x14ac:dyDescent="0.2">
      <c r="A194">
        <v>45599</v>
      </c>
      <c r="B194">
        <v>38830</v>
      </c>
      <c r="C194">
        <v>-83</v>
      </c>
      <c r="D194">
        <v>1.32</v>
      </c>
      <c r="E194" t="s">
        <v>8</v>
      </c>
      <c r="F194" t="s">
        <v>143</v>
      </c>
    </row>
    <row r="195" spans="1:6" hidden="1" x14ac:dyDescent="0.2">
      <c r="A195">
        <v>2</v>
      </c>
      <c r="B195">
        <v>57382</v>
      </c>
      <c r="C195">
        <v>-91</v>
      </c>
      <c r="D195">
        <v>4.55</v>
      </c>
      <c r="E195" t="s">
        <v>44</v>
      </c>
      <c r="F195" t="s">
        <v>143</v>
      </c>
    </row>
    <row r="196" spans="1:6" hidden="1" x14ac:dyDescent="0.2">
      <c r="A196">
        <v>1034</v>
      </c>
      <c r="B196">
        <v>12408</v>
      </c>
      <c r="C196">
        <v>-91</v>
      </c>
      <c r="D196">
        <v>6.16</v>
      </c>
      <c r="E196" t="s">
        <v>44</v>
      </c>
      <c r="F196" t="s">
        <v>143</v>
      </c>
    </row>
    <row r="197" spans="1:6" hidden="1" x14ac:dyDescent="0.2">
      <c r="A197">
        <v>3873</v>
      </c>
      <c r="B197">
        <v>28141</v>
      </c>
      <c r="C197">
        <v>-69</v>
      </c>
      <c r="D197">
        <v>0.06</v>
      </c>
      <c r="E197" t="s">
        <v>6</v>
      </c>
      <c r="F197" t="s">
        <v>142</v>
      </c>
    </row>
    <row r="198" spans="1:6" x14ac:dyDescent="0.2">
      <c r="A198">
        <v>31536</v>
      </c>
      <c r="B198">
        <v>15107</v>
      </c>
      <c r="C198">
        <v>-90</v>
      </c>
      <c r="D198">
        <v>0.86</v>
      </c>
      <c r="E198" t="s">
        <v>8</v>
      </c>
      <c r="F198" t="s">
        <v>142</v>
      </c>
    </row>
    <row r="199" spans="1:6" hidden="1" x14ac:dyDescent="0.2">
      <c r="A199">
        <v>45599</v>
      </c>
      <c r="B199">
        <v>38830</v>
      </c>
      <c r="C199">
        <v>-82</v>
      </c>
      <c r="D199">
        <v>1.3</v>
      </c>
      <c r="E199" t="s">
        <v>8</v>
      </c>
      <c r="F199" t="s">
        <v>142</v>
      </c>
    </row>
    <row r="200" spans="1:6" hidden="1" x14ac:dyDescent="0.2">
      <c r="A200">
        <v>2</v>
      </c>
      <c r="B200">
        <v>57382</v>
      </c>
      <c r="C200">
        <v>-91</v>
      </c>
      <c r="D200">
        <v>4.22</v>
      </c>
      <c r="E200" t="s">
        <v>44</v>
      </c>
      <c r="F200" t="s">
        <v>142</v>
      </c>
    </row>
    <row r="201" spans="1:6" hidden="1" x14ac:dyDescent="0.2">
      <c r="A201">
        <v>1034</v>
      </c>
      <c r="B201">
        <v>12408</v>
      </c>
      <c r="C201">
        <v>-91</v>
      </c>
      <c r="D201">
        <v>6.19</v>
      </c>
      <c r="E201" t="s">
        <v>44</v>
      </c>
      <c r="F201" t="s">
        <v>142</v>
      </c>
    </row>
    <row r="202" spans="1:6" hidden="1" x14ac:dyDescent="0.2">
      <c r="A202">
        <v>2</v>
      </c>
      <c r="B202">
        <v>57382</v>
      </c>
      <c r="C202">
        <v>0</v>
      </c>
      <c r="D202">
        <v>-1</v>
      </c>
      <c r="F202" t="s">
        <v>141</v>
      </c>
    </row>
    <row r="203" spans="1:6" hidden="1" x14ac:dyDescent="0.2">
      <c r="A203">
        <v>3873</v>
      </c>
      <c r="B203">
        <v>28141</v>
      </c>
      <c r="C203">
        <v>-67</v>
      </c>
      <c r="D203">
        <v>0.05</v>
      </c>
      <c r="E203" t="s">
        <v>6</v>
      </c>
      <c r="F203" t="s">
        <v>141</v>
      </c>
    </row>
    <row r="204" spans="1:6" x14ac:dyDescent="0.2">
      <c r="A204">
        <v>31536</v>
      </c>
      <c r="B204">
        <v>15107</v>
      </c>
      <c r="C204">
        <v>-89</v>
      </c>
      <c r="D204">
        <v>0.85</v>
      </c>
      <c r="E204" t="s">
        <v>8</v>
      </c>
      <c r="F204" t="s">
        <v>141</v>
      </c>
    </row>
    <row r="205" spans="1:6" hidden="1" x14ac:dyDescent="0.2">
      <c r="A205">
        <v>45599</v>
      </c>
      <c r="B205">
        <v>38830</v>
      </c>
      <c r="C205">
        <v>-83</v>
      </c>
      <c r="D205">
        <v>1.3</v>
      </c>
      <c r="E205" t="s">
        <v>8</v>
      </c>
      <c r="F205" t="s">
        <v>141</v>
      </c>
    </row>
    <row r="206" spans="1:6" hidden="1" x14ac:dyDescent="0.2">
      <c r="A206">
        <v>1034</v>
      </c>
      <c r="B206">
        <v>12408</v>
      </c>
      <c r="C206">
        <v>-90</v>
      </c>
      <c r="D206">
        <v>6.18</v>
      </c>
      <c r="E206" t="s">
        <v>44</v>
      </c>
      <c r="F206" t="s">
        <v>141</v>
      </c>
    </row>
    <row r="207" spans="1:6" hidden="1" x14ac:dyDescent="0.2">
      <c r="A207">
        <v>2</v>
      </c>
      <c r="B207">
        <v>57382</v>
      </c>
      <c r="C207">
        <v>0</v>
      </c>
      <c r="D207">
        <v>-1</v>
      </c>
      <c r="F207" t="s">
        <v>140</v>
      </c>
    </row>
    <row r="208" spans="1:6" hidden="1" x14ac:dyDescent="0.2">
      <c r="A208">
        <v>3873</v>
      </c>
      <c r="B208">
        <v>28141</v>
      </c>
      <c r="C208">
        <v>-67</v>
      </c>
      <c r="D208">
        <v>0.05</v>
      </c>
      <c r="E208" t="s">
        <v>6</v>
      </c>
      <c r="F208" t="s">
        <v>140</v>
      </c>
    </row>
    <row r="209" spans="1:6" x14ac:dyDescent="0.2">
      <c r="A209">
        <v>31536</v>
      </c>
      <c r="B209">
        <v>15107</v>
      </c>
      <c r="C209">
        <v>-89</v>
      </c>
      <c r="D209">
        <v>0.84</v>
      </c>
      <c r="E209" t="s">
        <v>8</v>
      </c>
      <c r="F209" t="s">
        <v>140</v>
      </c>
    </row>
    <row r="210" spans="1:6" hidden="1" x14ac:dyDescent="0.2">
      <c r="A210">
        <v>45599</v>
      </c>
      <c r="B210">
        <v>38830</v>
      </c>
      <c r="C210">
        <v>-83</v>
      </c>
      <c r="D210">
        <v>1.3</v>
      </c>
      <c r="E210" t="s">
        <v>8</v>
      </c>
      <c r="F210" t="s">
        <v>140</v>
      </c>
    </row>
    <row r="211" spans="1:6" hidden="1" x14ac:dyDescent="0.2">
      <c r="A211">
        <v>1034</v>
      </c>
      <c r="B211">
        <v>12408</v>
      </c>
      <c r="C211">
        <v>-90</v>
      </c>
      <c r="D211">
        <v>6.17</v>
      </c>
      <c r="E211" t="s">
        <v>44</v>
      </c>
      <c r="F211" t="s">
        <v>140</v>
      </c>
    </row>
    <row r="212" spans="1:6" hidden="1" x14ac:dyDescent="0.2">
      <c r="A212">
        <v>2</v>
      </c>
      <c r="B212">
        <v>57382</v>
      </c>
      <c r="C212">
        <v>0</v>
      </c>
      <c r="D212">
        <v>-1</v>
      </c>
      <c r="F212" t="s">
        <v>139</v>
      </c>
    </row>
    <row r="213" spans="1:6" hidden="1" x14ac:dyDescent="0.2">
      <c r="A213">
        <v>3873</v>
      </c>
      <c r="B213">
        <v>28141</v>
      </c>
      <c r="C213">
        <v>-67</v>
      </c>
      <c r="D213">
        <v>0.05</v>
      </c>
      <c r="E213" t="s">
        <v>6</v>
      </c>
      <c r="F213" t="s">
        <v>139</v>
      </c>
    </row>
    <row r="214" spans="1:6" x14ac:dyDescent="0.2">
      <c r="A214">
        <v>31536</v>
      </c>
      <c r="B214">
        <v>15107</v>
      </c>
      <c r="C214">
        <v>-89</v>
      </c>
      <c r="D214">
        <v>0.83</v>
      </c>
      <c r="E214" t="s">
        <v>8</v>
      </c>
      <c r="F214" t="s">
        <v>139</v>
      </c>
    </row>
    <row r="215" spans="1:6" hidden="1" x14ac:dyDescent="0.2">
      <c r="A215">
        <v>45599</v>
      </c>
      <c r="B215">
        <v>38830</v>
      </c>
      <c r="C215">
        <v>-83</v>
      </c>
      <c r="D215">
        <v>1.3</v>
      </c>
      <c r="E215" t="s">
        <v>8</v>
      </c>
      <c r="F215" t="s">
        <v>139</v>
      </c>
    </row>
    <row r="216" spans="1:6" hidden="1" x14ac:dyDescent="0.2">
      <c r="A216">
        <v>1034</v>
      </c>
      <c r="B216">
        <v>12408</v>
      </c>
      <c r="C216">
        <v>-90</v>
      </c>
      <c r="D216">
        <v>6.16</v>
      </c>
      <c r="E216" t="s">
        <v>44</v>
      </c>
      <c r="F216" t="s">
        <v>139</v>
      </c>
    </row>
    <row r="217" spans="1:6" hidden="1" x14ac:dyDescent="0.2">
      <c r="A217">
        <v>2</v>
      </c>
      <c r="B217">
        <v>57382</v>
      </c>
      <c r="C217">
        <v>0</v>
      </c>
      <c r="D217">
        <v>-1</v>
      </c>
      <c r="F217" t="s">
        <v>138</v>
      </c>
    </row>
    <row r="218" spans="1:6" hidden="1" x14ac:dyDescent="0.2">
      <c r="A218">
        <v>3873</v>
      </c>
      <c r="B218">
        <v>28141</v>
      </c>
      <c r="C218">
        <v>-67</v>
      </c>
      <c r="D218">
        <v>0.05</v>
      </c>
      <c r="E218" t="s">
        <v>6</v>
      </c>
      <c r="F218" t="s">
        <v>138</v>
      </c>
    </row>
    <row r="219" spans="1:6" x14ac:dyDescent="0.2">
      <c r="A219">
        <v>31536</v>
      </c>
      <c r="B219">
        <v>15107</v>
      </c>
      <c r="C219">
        <v>-89</v>
      </c>
      <c r="D219">
        <v>0.82</v>
      </c>
      <c r="E219" t="s">
        <v>8</v>
      </c>
      <c r="F219" t="s">
        <v>138</v>
      </c>
    </row>
    <row r="220" spans="1:6" hidden="1" x14ac:dyDescent="0.2">
      <c r="A220">
        <v>45599</v>
      </c>
      <c r="B220">
        <v>38830</v>
      </c>
      <c r="C220">
        <v>-84</v>
      </c>
      <c r="D220">
        <v>1.31</v>
      </c>
      <c r="E220" t="s">
        <v>8</v>
      </c>
      <c r="F220" t="s">
        <v>138</v>
      </c>
    </row>
    <row r="221" spans="1:6" hidden="1" x14ac:dyDescent="0.2">
      <c r="A221">
        <v>1034</v>
      </c>
      <c r="B221">
        <v>12408</v>
      </c>
      <c r="C221">
        <v>-91</v>
      </c>
      <c r="D221">
        <v>6.19</v>
      </c>
      <c r="E221" t="s">
        <v>44</v>
      </c>
      <c r="F221" t="s">
        <v>138</v>
      </c>
    </row>
    <row r="222" spans="1:6" hidden="1" x14ac:dyDescent="0.2">
      <c r="A222">
        <v>2</v>
      </c>
      <c r="B222">
        <v>57382</v>
      </c>
      <c r="C222">
        <v>0</v>
      </c>
      <c r="D222">
        <v>-1</v>
      </c>
      <c r="F222" t="s">
        <v>137</v>
      </c>
    </row>
    <row r="223" spans="1:6" hidden="1" x14ac:dyDescent="0.2">
      <c r="A223">
        <v>3873</v>
      </c>
      <c r="B223">
        <v>28141</v>
      </c>
      <c r="C223">
        <v>-67</v>
      </c>
      <c r="D223">
        <v>0.05</v>
      </c>
      <c r="E223" t="s">
        <v>6</v>
      </c>
      <c r="F223" t="s">
        <v>137</v>
      </c>
    </row>
    <row r="224" spans="1:6" x14ac:dyDescent="0.2">
      <c r="A224">
        <v>31536</v>
      </c>
      <c r="B224">
        <v>15107</v>
      </c>
      <c r="C224">
        <v>-89</v>
      </c>
      <c r="D224">
        <v>0.81</v>
      </c>
      <c r="E224" t="s">
        <v>8</v>
      </c>
      <c r="F224" t="s">
        <v>137</v>
      </c>
    </row>
    <row r="225" spans="1:6" hidden="1" x14ac:dyDescent="0.2">
      <c r="A225">
        <v>45599</v>
      </c>
      <c r="B225">
        <v>38830</v>
      </c>
      <c r="C225">
        <v>-84</v>
      </c>
      <c r="D225">
        <v>1.33</v>
      </c>
      <c r="E225" t="s">
        <v>8</v>
      </c>
      <c r="F225" t="s">
        <v>137</v>
      </c>
    </row>
    <row r="226" spans="1:6" hidden="1" x14ac:dyDescent="0.2">
      <c r="A226">
        <v>1034</v>
      </c>
      <c r="B226">
        <v>12408</v>
      </c>
      <c r="C226">
        <v>-90</v>
      </c>
      <c r="D226">
        <v>6.18</v>
      </c>
      <c r="E226" t="s">
        <v>44</v>
      </c>
      <c r="F226" t="s">
        <v>137</v>
      </c>
    </row>
    <row r="227" spans="1:6" hidden="1" x14ac:dyDescent="0.2">
      <c r="A227">
        <v>2</v>
      </c>
      <c r="B227">
        <v>57382</v>
      </c>
      <c r="C227">
        <v>0</v>
      </c>
      <c r="D227">
        <v>-1</v>
      </c>
      <c r="F227" t="s">
        <v>136</v>
      </c>
    </row>
    <row r="228" spans="1:6" hidden="1" x14ac:dyDescent="0.2">
      <c r="A228">
        <v>3873</v>
      </c>
      <c r="B228">
        <v>28141</v>
      </c>
      <c r="C228">
        <v>-69</v>
      </c>
      <c r="D228">
        <v>0.05</v>
      </c>
      <c r="E228" t="s">
        <v>6</v>
      </c>
      <c r="F228" t="s">
        <v>136</v>
      </c>
    </row>
    <row r="229" spans="1:6" x14ac:dyDescent="0.2">
      <c r="A229">
        <v>31536</v>
      </c>
      <c r="B229">
        <v>15107</v>
      </c>
      <c r="C229">
        <v>-90</v>
      </c>
      <c r="D229">
        <v>0.82</v>
      </c>
      <c r="E229" t="s">
        <v>8</v>
      </c>
      <c r="F229" t="s">
        <v>136</v>
      </c>
    </row>
    <row r="230" spans="1:6" hidden="1" x14ac:dyDescent="0.2">
      <c r="A230">
        <v>45599</v>
      </c>
      <c r="B230">
        <v>38830</v>
      </c>
      <c r="C230">
        <v>-83</v>
      </c>
      <c r="D230">
        <v>1.33</v>
      </c>
      <c r="E230" t="s">
        <v>8</v>
      </c>
      <c r="F230" t="s">
        <v>136</v>
      </c>
    </row>
    <row r="231" spans="1:6" hidden="1" x14ac:dyDescent="0.2">
      <c r="A231">
        <v>1034</v>
      </c>
      <c r="B231">
        <v>12408</v>
      </c>
      <c r="C231">
        <v>-89</v>
      </c>
      <c r="D231">
        <v>6.13</v>
      </c>
      <c r="E231" t="s">
        <v>44</v>
      </c>
      <c r="F231" t="s">
        <v>136</v>
      </c>
    </row>
    <row r="232" spans="1:6" hidden="1" x14ac:dyDescent="0.2">
      <c r="A232">
        <v>2</v>
      </c>
      <c r="B232">
        <v>57382</v>
      </c>
      <c r="C232">
        <v>0</v>
      </c>
      <c r="D232">
        <v>-1</v>
      </c>
      <c r="F232" t="s">
        <v>135</v>
      </c>
    </row>
    <row r="233" spans="1:6" hidden="1" x14ac:dyDescent="0.2">
      <c r="A233">
        <v>3873</v>
      </c>
      <c r="B233">
        <v>28141</v>
      </c>
      <c r="C233">
        <v>-66</v>
      </c>
      <c r="D233">
        <v>0.05</v>
      </c>
      <c r="E233" t="s">
        <v>6</v>
      </c>
      <c r="F233" t="s">
        <v>135</v>
      </c>
    </row>
    <row r="234" spans="1:6" x14ac:dyDescent="0.2">
      <c r="A234">
        <v>31536</v>
      </c>
      <c r="B234">
        <v>15107</v>
      </c>
      <c r="C234">
        <v>-90</v>
      </c>
      <c r="D234">
        <v>0.83</v>
      </c>
      <c r="E234" t="s">
        <v>8</v>
      </c>
      <c r="F234" t="s">
        <v>135</v>
      </c>
    </row>
    <row r="235" spans="1:6" hidden="1" x14ac:dyDescent="0.2">
      <c r="A235">
        <v>45599</v>
      </c>
      <c r="B235">
        <v>38830</v>
      </c>
      <c r="C235">
        <v>-84</v>
      </c>
      <c r="D235">
        <v>1.34</v>
      </c>
      <c r="E235" t="s">
        <v>8</v>
      </c>
      <c r="F235" t="s">
        <v>135</v>
      </c>
    </row>
    <row r="236" spans="1:6" hidden="1" x14ac:dyDescent="0.2">
      <c r="A236">
        <v>1034</v>
      </c>
      <c r="B236">
        <v>12408</v>
      </c>
      <c r="C236">
        <v>-89</v>
      </c>
      <c r="D236">
        <v>6.07</v>
      </c>
      <c r="E236" t="s">
        <v>44</v>
      </c>
      <c r="F236" t="s">
        <v>135</v>
      </c>
    </row>
    <row r="237" spans="1:6" hidden="1" x14ac:dyDescent="0.2">
      <c r="A237">
        <v>2</v>
      </c>
      <c r="B237">
        <v>57382</v>
      </c>
      <c r="C237">
        <v>0</v>
      </c>
      <c r="D237">
        <v>-1</v>
      </c>
      <c r="F237" t="s">
        <v>134</v>
      </c>
    </row>
    <row r="238" spans="1:6" hidden="1" x14ac:dyDescent="0.2">
      <c r="A238">
        <v>3873</v>
      </c>
      <c r="B238">
        <v>28141</v>
      </c>
      <c r="C238">
        <v>-68</v>
      </c>
      <c r="D238">
        <v>0.05</v>
      </c>
      <c r="E238" t="s">
        <v>6</v>
      </c>
      <c r="F238" t="s">
        <v>134</v>
      </c>
    </row>
    <row r="239" spans="1:6" x14ac:dyDescent="0.2">
      <c r="A239">
        <v>31536</v>
      </c>
      <c r="B239">
        <v>15107</v>
      </c>
      <c r="C239">
        <v>-92</v>
      </c>
      <c r="D239">
        <v>0.86</v>
      </c>
      <c r="E239" t="s">
        <v>8</v>
      </c>
      <c r="F239" t="s">
        <v>134</v>
      </c>
    </row>
    <row r="240" spans="1:6" hidden="1" x14ac:dyDescent="0.2">
      <c r="A240">
        <v>45599</v>
      </c>
      <c r="B240">
        <v>38830</v>
      </c>
      <c r="C240">
        <v>-85</v>
      </c>
      <c r="D240">
        <v>1.37</v>
      </c>
      <c r="E240" t="s">
        <v>8</v>
      </c>
      <c r="F240" t="s">
        <v>134</v>
      </c>
    </row>
    <row r="241" spans="1:6" hidden="1" x14ac:dyDescent="0.2">
      <c r="A241">
        <v>1034</v>
      </c>
      <c r="B241">
        <v>12408</v>
      </c>
      <c r="C241">
        <v>-89</v>
      </c>
      <c r="D241">
        <v>6.03</v>
      </c>
      <c r="E241" t="s">
        <v>44</v>
      </c>
      <c r="F241" t="s">
        <v>134</v>
      </c>
    </row>
    <row r="242" spans="1:6" hidden="1" x14ac:dyDescent="0.2">
      <c r="A242">
        <v>3873</v>
      </c>
      <c r="B242">
        <v>28141</v>
      </c>
      <c r="C242">
        <v>-68</v>
      </c>
      <c r="D242">
        <v>0.05</v>
      </c>
      <c r="E242" t="s">
        <v>6</v>
      </c>
      <c r="F242" t="s">
        <v>133</v>
      </c>
    </row>
    <row r="243" spans="1:6" x14ac:dyDescent="0.2">
      <c r="A243">
        <v>31536</v>
      </c>
      <c r="B243">
        <v>15107</v>
      </c>
      <c r="C243">
        <v>-90</v>
      </c>
      <c r="D243">
        <v>0.86</v>
      </c>
      <c r="E243" t="s">
        <v>8</v>
      </c>
      <c r="F243" t="s">
        <v>133</v>
      </c>
    </row>
    <row r="244" spans="1:6" hidden="1" x14ac:dyDescent="0.2">
      <c r="A244">
        <v>45599</v>
      </c>
      <c r="B244">
        <v>38830</v>
      </c>
      <c r="C244">
        <v>-84</v>
      </c>
      <c r="D244">
        <v>1.38</v>
      </c>
      <c r="E244" t="s">
        <v>8</v>
      </c>
      <c r="F244" t="s">
        <v>133</v>
      </c>
    </row>
    <row r="245" spans="1:6" hidden="1" x14ac:dyDescent="0.2">
      <c r="A245">
        <v>1034</v>
      </c>
      <c r="B245">
        <v>12408</v>
      </c>
      <c r="C245">
        <v>-90</v>
      </c>
      <c r="D245">
        <v>6.02</v>
      </c>
      <c r="E245" t="s">
        <v>44</v>
      </c>
      <c r="F245" t="s">
        <v>133</v>
      </c>
    </row>
    <row r="246" spans="1:6" hidden="1" x14ac:dyDescent="0.2">
      <c r="A246">
        <v>3873</v>
      </c>
      <c r="B246">
        <v>28141</v>
      </c>
      <c r="C246">
        <v>-68</v>
      </c>
      <c r="D246">
        <v>0.05</v>
      </c>
      <c r="E246" t="s">
        <v>6</v>
      </c>
      <c r="F246" t="s">
        <v>132</v>
      </c>
    </row>
    <row r="247" spans="1:6" x14ac:dyDescent="0.2">
      <c r="A247">
        <v>31536</v>
      </c>
      <c r="B247">
        <v>15107</v>
      </c>
      <c r="C247">
        <v>-91</v>
      </c>
      <c r="D247">
        <v>0.88</v>
      </c>
      <c r="E247" t="s">
        <v>8</v>
      </c>
      <c r="F247" t="s">
        <v>132</v>
      </c>
    </row>
    <row r="248" spans="1:6" hidden="1" x14ac:dyDescent="0.2">
      <c r="A248">
        <v>45599</v>
      </c>
      <c r="B248">
        <v>38830</v>
      </c>
      <c r="C248">
        <v>-84</v>
      </c>
      <c r="D248">
        <v>1.39</v>
      </c>
      <c r="E248" t="s">
        <v>8</v>
      </c>
      <c r="F248" t="s">
        <v>132</v>
      </c>
    </row>
    <row r="249" spans="1:6" hidden="1" x14ac:dyDescent="0.2">
      <c r="A249">
        <v>1034</v>
      </c>
      <c r="B249">
        <v>12408</v>
      </c>
      <c r="C249">
        <v>-89</v>
      </c>
      <c r="D249">
        <v>5.98</v>
      </c>
      <c r="E249" t="s">
        <v>44</v>
      </c>
      <c r="F249" t="s">
        <v>132</v>
      </c>
    </row>
    <row r="250" spans="1:6" hidden="1" x14ac:dyDescent="0.2">
      <c r="A250">
        <v>3873</v>
      </c>
      <c r="B250">
        <v>28141</v>
      </c>
      <c r="C250">
        <v>-68</v>
      </c>
      <c r="D250">
        <v>0.05</v>
      </c>
      <c r="E250" t="s">
        <v>6</v>
      </c>
      <c r="F250" t="s">
        <v>131</v>
      </c>
    </row>
    <row r="251" spans="1:6" x14ac:dyDescent="0.2">
      <c r="A251">
        <v>31536</v>
      </c>
      <c r="B251">
        <v>15107</v>
      </c>
      <c r="C251">
        <v>-91</v>
      </c>
      <c r="D251">
        <v>0.89</v>
      </c>
      <c r="E251" t="s">
        <v>8</v>
      </c>
      <c r="F251" t="s">
        <v>131</v>
      </c>
    </row>
    <row r="252" spans="1:6" hidden="1" x14ac:dyDescent="0.2">
      <c r="A252">
        <v>45599</v>
      </c>
      <c r="B252">
        <v>38830</v>
      </c>
      <c r="C252">
        <v>-85</v>
      </c>
      <c r="D252">
        <v>1.41</v>
      </c>
      <c r="E252" t="s">
        <v>8</v>
      </c>
      <c r="F252" t="s">
        <v>131</v>
      </c>
    </row>
    <row r="253" spans="1:6" hidden="1" x14ac:dyDescent="0.2">
      <c r="A253">
        <v>1034</v>
      </c>
      <c r="B253">
        <v>12408</v>
      </c>
      <c r="C253">
        <v>-92</v>
      </c>
      <c r="D253">
        <v>6.05</v>
      </c>
      <c r="E253" t="s">
        <v>44</v>
      </c>
      <c r="F253" t="s">
        <v>131</v>
      </c>
    </row>
    <row r="254" spans="1:6" hidden="1" x14ac:dyDescent="0.2">
      <c r="A254">
        <v>3873</v>
      </c>
      <c r="B254">
        <v>28141</v>
      </c>
      <c r="C254">
        <v>-67</v>
      </c>
      <c r="D254">
        <v>0.05</v>
      </c>
      <c r="E254" t="s">
        <v>6</v>
      </c>
      <c r="F254" t="s">
        <v>130</v>
      </c>
    </row>
    <row r="255" spans="1:6" x14ac:dyDescent="0.2">
      <c r="A255">
        <v>31536</v>
      </c>
      <c r="B255">
        <v>15107</v>
      </c>
      <c r="C255">
        <v>-91</v>
      </c>
      <c r="D255">
        <v>0.91</v>
      </c>
      <c r="E255" t="s">
        <v>8</v>
      </c>
      <c r="F255" t="s">
        <v>130</v>
      </c>
    </row>
    <row r="256" spans="1:6" hidden="1" x14ac:dyDescent="0.2">
      <c r="A256">
        <v>45599</v>
      </c>
      <c r="B256">
        <v>38830</v>
      </c>
      <c r="C256">
        <v>-85</v>
      </c>
      <c r="D256">
        <v>1.44</v>
      </c>
      <c r="E256" t="s">
        <v>8</v>
      </c>
      <c r="F256" t="s">
        <v>130</v>
      </c>
    </row>
    <row r="257" spans="1:6" hidden="1" x14ac:dyDescent="0.2">
      <c r="A257">
        <v>1034</v>
      </c>
      <c r="B257">
        <v>12408</v>
      </c>
      <c r="C257">
        <v>-90</v>
      </c>
      <c r="D257">
        <v>6.05</v>
      </c>
      <c r="E257" t="s">
        <v>44</v>
      </c>
      <c r="F257" t="s">
        <v>130</v>
      </c>
    </row>
    <row r="258" spans="1:6" hidden="1" x14ac:dyDescent="0.2">
      <c r="A258">
        <v>3873</v>
      </c>
      <c r="B258">
        <v>28141</v>
      </c>
      <c r="C258">
        <v>-67</v>
      </c>
      <c r="D258">
        <v>0.05</v>
      </c>
      <c r="E258" t="s">
        <v>6</v>
      </c>
      <c r="F258" t="s">
        <v>129</v>
      </c>
    </row>
    <row r="259" spans="1:6" x14ac:dyDescent="0.2">
      <c r="A259">
        <v>31536</v>
      </c>
      <c r="B259">
        <v>15107</v>
      </c>
      <c r="C259">
        <v>-93</v>
      </c>
      <c r="D259">
        <v>0.94</v>
      </c>
      <c r="E259" t="s">
        <v>8</v>
      </c>
      <c r="F259" t="s">
        <v>129</v>
      </c>
    </row>
    <row r="260" spans="1:6" hidden="1" x14ac:dyDescent="0.2">
      <c r="A260">
        <v>45599</v>
      </c>
      <c r="B260">
        <v>38830</v>
      </c>
      <c r="C260">
        <v>-85</v>
      </c>
      <c r="D260">
        <v>1.46</v>
      </c>
      <c r="E260" t="s">
        <v>8</v>
      </c>
      <c r="F260" t="s">
        <v>129</v>
      </c>
    </row>
    <row r="261" spans="1:6" hidden="1" x14ac:dyDescent="0.2">
      <c r="A261">
        <v>1034</v>
      </c>
      <c r="B261">
        <v>12408</v>
      </c>
      <c r="C261">
        <v>-89</v>
      </c>
      <c r="D261">
        <v>6</v>
      </c>
      <c r="E261" t="s">
        <v>44</v>
      </c>
      <c r="F261" t="s">
        <v>129</v>
      </c>
    </row>
  </sheetData>
  <autoFilter ref="A1:F261" xr:uid="{00000000-0009-0000-0000-000005000000}">
    <filterColumn colId="0">
      <filters>
        <filter val="31536"/>
      </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filterMode="1"/>
  <dimension ref="A1:J241"/>
  <sheetViews>
    <sheetView workbookViewId="0">
      <selection activeCell="D1" sqref="D1:D1048576"/>
    </sheetView>
  </sheetViews>
  <sheetFormatPr baseColWidth="10" defaultRowHeight="16" x14ac:dyDescent="0.2"/>
  <cols>
    <col min="6" max="6" width="17.83203125" bestFit="1" customWidth="1"/>
  </cols>
  <sheetData>
    <row r="1" spans="1:10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10" x14ac:dyDescent="0.2">
      <c r="A2">
        <v>31536</v>
      </c>
      <c r="B2">
        <v>15107</v>
      </c>
      <c r="C2">
        <v>-62</v>
      </c>
      <c r="D2">
        <v>0.02</v>
      </c>
      <c r="E2" t="s">
        <v>6</v>
      </c>
      <c r="F2" t="s">
        <v>189</v>
      </c>
    </row>
    <row r="3" spans="1:10" hidden="1" x14ac:dyDescent="0.2">
      <c r="A3">
        <v>1034</v>
      </c>
      <c r="B3">
        <v>12408</v>
      </c>
      <c r="C3">
        <v>-94</v>
      </c>
      <c r="D3">
        <v>10</v>
      </c>
      <c r="E3" t="s">
        <v>44</v>
      </c>
      <c r="F3" t="s">
        <v>189</v>
      </c>
      <c r="H3" t="s">
        <v>309</v>
      </c>
      <c r="I3" t="s">
        <v>310</v>
      </c>
      <c r="J3" t="s">
        <v>311</v>
      </c>
    </row>
    <row r="4" spans="1:10" x14ac:dyDescent="0.2">
      <c r="A4">
        <v>31536</v>
      </c>
      <c r="B4">
        <v>15107</v>
      </c>
      <c r="C4">
        <v>-62</v>
      </c>
      <c r="D4">
        <v>0.02</v>
      </c>
      <c r="E4" t="s">
        <v>6</v>
      </c>
      <c r="F4" t="s">
        <v>190</v>
      </c>
      <c r="H4">
        <v>3873</v>
      </c>
      <c r="I4">
        <f>COUNTIF(A2:A261, "3873")</f>
        <v>51</v>
      </c>
      <c r="J4">
        <v>-36.6</v>
      </c>
    </row>
    <row r="5" spans="1:10" hidden="1" x14ac:dyDescent="0.2">
      <c r="A5">
        <v>3873</v>
      </c>
      <c r="B5">
        <v>28141</v>
      </c>
      <c r="C5">
        <v>-92</v>
      </c>
      <c r="D5">
        <v>1.1399999999999999</v>
      </c>
      <c r="E5" t="s">
        <v>8</v>
      </c>
      <c r="F5" t="s">
        <v>190</v>
      </c>
      <c r="H5">
        <v>31536</v>
      </c>
      <c r="I5">
        <f>COUNTIF(A2:A261, "31536")</f>
        <v>60</v>
      </c>
      <c r="J5">
        <v>-61.7</v>
      </c>
    </row>
    <row r="6" spans="1:10" hidden="1" x14ac:dyDescent="0.2">
      <c r="A6">
        <v>45599</v>
      </c>
      <c r="B6">
        <v>38830</v>
      </c>
      <c r="C6">
        <v>-96</v>
      </c>
      <c r="D6">
        <v>6.81</v>
      </c>
      <c r="E6" t="s">
        <v>44</v>
      </c>
      <c r="F6" t="s">
        <v>190</v>
      </c>
      <c r="H6">
        <v>17519</v>
      </c>
      <c r="I6">
        <f>COUNTIF(A2:A261, "17519")</f>
        <v>0</v>
      </c>
      <c r="J6">
        <v>0</v>
      </c>
    </row>
    <row r="7" spans="1:10" hidden="1" x14ac:dyDescent="0.2">
      <c r="A7">
        <v>1034</v>
      </c>
      <c r="B7">
        <v>12408</v>
      </c>
      <c r="C7">
        <v>-91</v>
      </c>
      <c r="D7">
        <v>8.1</v>
      </c>
      <c r="E7" t="s">
        <v>44</v>
      </c>
      <c r="F7" t="s">
        <v>190</v>
      </c>
      <c r="H7" t="s">
        <v>312</v>
      </c>
      <c r="I7">
        <f>COUNTIF(E2:E261, "")</f>
        <v>83</v>
      </c>
    </row>
    <row r="8" spans="1:10" x14ac:dyDescent="0.2">
      <c r="A8">
        <v>31536</v>
      </c>
      <c r="B8">
        <v>15107</v>
      </c>
      <c r="C8">
        <v>0</v>
      </c>
      <c r="D8">
        <v>-1</v>
      </c>
      <c r="F8" t="s">
        <v>191</v>
      </c>
    </row>
    <row r="9" spans="1:10" hidden="1" x14ac:dyDescent="0.2">
      <c r="A9">
        <v>3873</v>
      </c>
      <c r="B9">
        <v>28141</v>
      </c>
      <c r="C9">
        <v>0</v>
      </c>
      <c r="D9">
        <v>-1</v>
      </c>
      <c r="F9" t="s">
        <v>191</v>
      </c>
    </row>
    <row r="10" spans="1:10" hidden="1" x14ac:dyDescent="0.2">
      <c r="A10">
        <v>45599</v>
      </c>
      <c r="B10">
        <v>38830</v>
      </c>
      <c r="C10">
        <v>-96</v>
      </c>
      <c r="D10">
        <v>6.81</v>
      </c>
      <c r="E10" t="s">
        <v>44</v>
      </c>
      <c r="F10" t="s">
        <v>191</v>
      </c>
    </row>
    <row r="11" spans="1:10" hidden="1" x14ac:dyDescent="0.2">
      <c r="A11">
        <v>1034</v>
      </c>
      <c r="B11">
        <v>12408</v>
      </c>
      <c r="C11">
        <v>-90</v>
      </c>
      <c r="D11">
        <v>7.23</v>
      </c>
      <c r="E11" t="s">
        <v>44</v>
      </c>
      <c r="F11" t="s">
        <v>191</v>
      </c>
    </row>
    <row r="12" spans="1:10" hidden="1" x14ac:dyDescent="0.2">
      <c r="A12">
        <v>3873</v>
      </c>
      <c r="B12">
        <v>28141</v>
      </c>
      <c r="C12">
        <v>0</v>
      </c>
      <c r="D12">
        <v>-1</v>
      </c>
      <c r="F12" t="s">
        <v>192</v>
      </c>
    </row>
    <row r="13" spans="1:10" x14ac:dyDescent="0.2">
      <c r="A13">
        <v>31536</v>
      </c>
      <c r="B13">
        <v>15107</v>
      </c>
      <c r="C13">
        <v>-63</v>
      </c>
      <c r="D13">
        <v>0.03</v>
      </c>
      <c r="E13" t="s">
        <v>6</v>
      </c>
      <c r="F13" t="s">
        <v>192</v>
      </c>
    </row>
    <row r="14" spans="1:10" hidden="1" x14ac:dyDescent="0.2">
      <c r="A14">
        <v>45599</v>
      </c>
      <c r="B14">
        <v>38830</v>
      </c>
      <c r="C14">
        <v>-94</v>
      </c>
      <c r="D14">
        <v>6.13</v>
      </c>
      <c r="E14" t="s">
        <v>44</v>
      </c>
      <c r="F14" t="s">
        <v>192</v>
      </c>
    </row>
    <row r="15" spans="1:10" hidden="1" x14ac:dyDescent="0.2">
      <c r="A15">
        <v>1034</v>
      </c>
      <c r="B15">
        <v>12408</v>
      </c>
      <c r="C15">
        <v>-96</v>
      </c>
      <c r="D15">
        <v>8.1999999999999993</v>
      </c>
      <c r="E15" t="s">
        <v>44</v>
      </c>
      <c r="F15" t="s">
        <v>192</v>
      </c>
    </row>
    <row r="16" spans="1:10" hidden="1" x14ac:dyDescent="0.2">
      <c r="A16">
        <v>3873</v>
      </c>
      <c r="B16">
        <v>28141</v>
      </c>
      <c r="C16">
        <v>0</v>
      </c>
      <c r="D16">
        <v>-1</v>
      </c>
      <c r="F16" t="s">
        <v>193</v>
      </c>
    </row>
    <row r="17" spans="1:6" hidden="1" x14ac:dyDescent="0.2">
      <c r="A17">
        <v>45599</v>
      </c>
      <c r="B17">
        <v>38830</v>
      </c>
      <c r="C17">
        <v>0</v>
      </c>
      <c r="D17">
        <v>-1</v>
      </c>
      <c r="F17" t="s">
        <v>193</v>
      </c>
    </row>
    <row r="18" spans="1:6" x14ac:dyDescent="0.2">
      <c r="A18">
        <v>31536</v>
      </c>
      <c r="B18">
        <v>15107</v>
      </c>
      <c r="C18">
        <v>-63</v>
      </c>
      <c r="D18">
        <v>0.03</v>
      </c>
      <c r="E18" t="s">
        <v>6</v>
      </c>
      <c r="F18" t="s">
        <v>193</v>
      </c>
    </row>
    <row r="19" spans="1:6" hidden="1" x14ac:dyDescent="0.2">
      <c r="A19">
        <v>1034</v>
      </c>
      <c r="B19">
        <v>12408</v>
      </c>
      <c r="C19">
        <v>-91</v>
      </c>
      <c r="D19">
        <v>7.84</v>
      </c>
      <c r="E19" t="s">
        <v>44</v>
      </c>
      <c r="F19" t="s">
        <v>193</v>
      </c>
    </row>
    <row r="20" spans="1:6" hidden="1" x14ac:dyDescent="0.2">
      <c r="A20">
        <v>3873</v>
      </c>
      <c r="B20">
        <v>28141</v>
      </c>
      <c r="C20">
        <v>0</v>
      </c>
      <c r="D20">
        <v>-1</v>
      </c>
      <c r="F20" t="s">
        <v>194</v>
      </c>
    </row>
    <row r="21" spans="1:6" x14ac:dyDescent="0.2">
      <c r="A21">
        <v>31536</v>
      </c>
      <c r="B21">
        <v>15107</v>
      </c>
      <c r="C21">
        <v>-62</v>
      </c>
      <c r="D21">
        <v>0.03</v>
      </c>
      <c r="E21" t="s">
        <v>6</v>
      </c>
      <c r="F21" t="s">
        <v>194</v>
      </c>
    </row>
    <row r="22" spans="1:6" hidden="1" x14ac:dyDescent="0.2">
      <c r="A22">
        <v>45599</v>
      </c>
      <c r="B22">
        <v>38830</v>
      </c>
      <c r="C22">
        <v>-92</v>
      </c>
      <c r="D22">
        <v>5.35</v>
      </c>
      <c r="E22" t="s">
        <v>44</v>
      </c>
      <c r="F22" t="s">
        <v>194</v>
      </c>
    </row>
    <row r="23" spans="1:6" hidden="1" x14ac:dyDescent="0.2">
      <c r="A23">
        <v>1034</v>
      </c>
      <c r="B23">
        <v>12408</v>
      </c>
      <c r="C23">
        <v>-90</v>
      </c>
      <c r="D23">
        <v>7.4</v>
      </c>
      <c r="E23" t="s">
        <v>44</v>
      </c>
      <c r="F23" t="s">
        <v>194</v>
      </c>
    </row>
    <row r="24" spans="1:6" hidden="1" x14ac:dyDescent="0.2">
      <c r="A24">
        <v>3873</v>
      </c>
      <c r="B24">
        <v>28141</v>
      </c>
      <c r="C24">
        <v>0</v>
      </c>
      <c r="D24">
        <v>-1</v>
      </c>
      <c r="F24" t="s">
        <v>195</v>
      </c>
    </row>
    <row r="25" spans="1:6" x14ac:dyDescent="0.2">
      <c r="A25">
        <v>31536</v>
      </c>
      <c r="B25">
        <v>15107</v>
      </c>
      <c r="C25">
        <v>-62</v>
      </c>
      <c r="D25">
        <v>0.02</v>
      </c>
      <c r="E25" t="s">
        <v>6</v>
      </c>
      <c r="F25" t="s">
        <v>195</v>
      </c>
    </row>
    <row r="26" spans="1:6" hidden="1" x14ac:dyDescent="0.2">
      <c r="A26">
        <v>45599</v>
      </c>
      <c r="B26">
        <v>38830</v>
      </c>
      <c r="C26">
        <v>-92</v>
      </c>
      <c r="D26">
        <v>4.9400000000000004</v>
      </c>
      <c r="E26" t="s">
        <v>44</v>
      </c>
      <c r="F26" t="s">
        <v>195</v>
      </c>
    </row>
    <row r="27" spans="1:6" hidden="1" x14ac:dyDescent="0.2">
      <c r="A27">
        <v>1034</v>
      </c>
      <c r="B27">
        <v>12408</v>
      </c>
      <c r="C27">
        <v>-94</v>
      </c>
      <c r="D27">
        <v>7.74</v>
      </c>
      <c r="E27" t="s">
        <v>44</v>
      </c>
      <c r="F27" t="s">
        <v>195</v>
      </c>
    </row>
    <row r="28" spans="1:6" hidden="1" x14ac:dyDescent="0.2">
      <c r="A28">
        <v>3873</v>
      </c>
      <c r="B28">
        <v>28141</v>
      </c>
      <c r="C28">
        <v>0</v>
      </c>
      <c r="D28">
        <v>-1</v>
      </c>
      <c r="F28" t="s">
        <v>196</v>
      </c>
    </row>
    <row r="29" spans="1:6" x14ac:dyDescent="0.2">
      <c r="A29">
        <v>31536</v>
      </c>
      <c r="B29">
        <v>15107</v>
      </c>
      <c r="C29">
        <v>-62</v>
      </c>
      <c r="D29">
        <v>0.02</v>
      </c>
      <c r="E29" t="s">
        <v>6</v>
      </c>
      <c r="F29" t="s">
        <v>196</v>
      </c>
    </row>
    <row r="30" spans="1:6" hidden="1" x14ac:dyDescent="0.2">
      <c r="A30">
        <v>45599</v>
      </c>
      <c r="B30">
        <v>38830</v>
      </c>
      <c r="C30">
        <v>-92</v>
      </c>
      <c r="D30">
        <v>4.72</v>
      </c>
      <c r="E30" t="s">
        <v>44</v>
      </c>
      <c r="F30" t="s">
        <v>196</v>
      </c>
    </row>
    <row r="31" spans="1:6" hidden="1" x14ac:dyDescent="0.2">
      <c r="A31">
        <v>1034</v>
      </c>
      <c r="B31">
        <v>12408</v>
      </c>
      <c r="C31">
        <v>-91</v>
      </c>
      <c r="D31">
        <v>7.59</v>
      </c>
      <c r="E31" t="s">
        <v>44</v>
      </c>
      <c r="F31" t="s">
        <v>196</v>
      </c>
    </row>
    <row r="32" spans="1:6" hidden="1" x14ac:dyDescent="0.2">
      <c r="A32">
        <v>3873</v>
      </c>
      <c r="B32">
        <v>28141</v>
      </c>
      <c r="C32">
        <v>0</v>
      </c>
      <c r="D32">
        <v>-1</v>
      </c>
      <c r="F32" t="s">
        <v>197</v>
      </c>
    </row>
    <row r="33" spans="1:6" x14ac:dyDescent="0.2">
      <c r="A33">
        <v>31536</v>
      </c>
      <c r="B33">
        <v>15107</v>
      </c>
      <c r="C33">
        <v>-62</v>
      </c>
      <c r="D33">
        <v>0.02</v>
      </c>
      <c r="E33" t="s">
        <v>6</v>
      </c>
      <c r="F33" t="s">
        <v>197</v>
      </c>
    </row>
    <row r="34" spans="1:6" hidden="1" x14ac:dyDescent="0.2">
      <c r="A34">
        <v>45599</v>
      </c>
      <c r="B34">
        <v>38830</v>
      </c>
      <c r="C34">
        <v>-96</v>
      </c>
      <c r="D34">
        <v>5</v>
      </c>
      <c r="E34" t="s">
        <v>44</v>
      </c>
      <c r="F34" t="s">
        <v>197</v>
      </c>
    </row>
    <row r="35" spans="1:6" hidden="1" x14ac:dyDescent="0.2">
      <c r="A35">
        <v>1034</v>
      </c>
      <c r="B35">
        <v>12408</v>
      </c>
      <c r="C35">
        <v>-89</v>
      </c>
      <c r="D35">
        <v>7.18</v>
      </c>
      <c r="E35" t="s">
        <v>44</v>
      </c>
      <c r="F35" t="s">
        <v>197</v>
      </c>
    </row>
    <row r="36" spans="1:6" hidden="1" x14ac:dyDescent="0.2">
      <c r="A36">
        <v>3873</v>
      </c>
      <c r="B36">
        <v>28141</v>
      </c>
      <c r="C36">
        <v>0</v>
      </c>
      <c r="D36">
        <v>-1</v>
      </c>
      <c r="F36" t="s">
        <v>198</v>
      </c>
    </row>
    <row r="37" spans="1:6" hidden="1" x14ac:dyDescent="0.2">
      <c r="A37">
        <v>45599</v>
      </c>
      <c r="B37">
        <v>38830</v>
      </c>
      <c r="C37">
        <v>0</v>
      </c>
      <c r="D37">
        <v>-1</v>
      </c>
      <c r="F37" t="s">
        <v>198</v>
      </c>
    </row>
    <row r="38" spans="1:6" x14ac:dyDescent="0.2">
      <c r="A38">
        <v>31536</v>
      </c>
      <c r="B38">
        <v>15107</v>
      </c>
      <c r="C38">
        <v>-63</v>
      </c>
      <c r="D38">
        <v>0.03</v>
      </c>
      <c r="E38" t="s">
        <v>6</v>
      </c>
      <c r="F38" t="s">
        <v>198</v>
      </c>
    </row>
    <row r="39" spans="1:6" hidden="1" x14ac:dyDescent="0.2">
      <c r="A39">
        <v>1034</v>
      </c>
      <c r="B39">
        <v>12408</v>
      </c>
      <c r="C39">
        <v>-93</v>
      </c>
      <c r="D39">
        <v>7.34</v>
      </c>
      <c r="E39" t="s">
        <v>44</v>
      </c>
      <c r="F39" t="s">
        <v>198</v>
      </c>
    </row>
    <row r="40" spans="1:6" hidden="1" x14ac:dyDescent="0.2">
      <c r="A40">
        <v>3873</v>
      </c>
      <c r="B40">
        <v>28141</v>
      </c>
      <c r="C40">
        <v>0</v>
      </c>
      <c r="D40">
        <v>-1</v>
      </c>
      <c r="F40" t="s">
        <v>199</v>
      </c>
    </row>
    <row r="41" spans="1:6" hidden="1" x14ac:dyDescent="0.2">
      <c r="A41">
        <v>45599</v>
      </c>
      <c r="B41">
        <v>38830</v>
      </c>
      <c r="C41">
        <v>0</v>
      </c>
      <c r="D41">
        <v>-1</v>
      </c>
      <c r="F41" t="s">
        <v>199</v>
      </c>
    </row>
    <row r="42" spans="1:6" x14ac:dyDescent="0.2">
      <c r="A42">
        <v>31536</v>
      </c>
      <c r="B42">
        <v>15107</v>
      </c>
      <c r="C42">
        <v>-63</v>
      </c>
      <c r="D42">
        <v>0.03</v>
      </c>
      <c r="E42" t="s">
        <v>6</v>
      </c>
      <c r="F42" t="s">
        <v>199</v>
      </c>
    </row>
    <row r="43" spans="1:6" hidden="1" x14ac:dyDescent="0.2">
      <c r="A43">
        <v>1034</v>
      </c>
      <c r="B43">
        <v>12408</v>
      </c>
      <c r="C43">
        <v>-93</v>
      </c>
      <c r="D43">
        <v>7.47</v>
      </c>
      <c r="E43" t="s">
        <v>44</v>
      </c>
      <c r="F43" t="s">
        <v>199</v>
      </c>
    </row>
    <row r="44" spans="1:6" hidden="1" x14ac:dyDescent="0.2">
      <c r="A44">
        <v>45599</v>
      </c>
      <c r="B44">
        <v>38830</v>
      </c>
      <c r="C44">
        <v>0</v>
      </c>
      <c r="D44">
        <v>-1</v>
      </c>
      <c r="F44" t="s">
        <v>200</v>
      </c>
    </row>
    <row r="45" spans="1:6" x14ac:dyDescent="0.2">
      <c r="A45">
        <v>31536</v>
      </c>
      <c r="B45">
        <v>15107</v>
      </c>
      <c r="C45">
        <v>-63</v>
      </c>
      <c r="D45">
        <v>0.03</v>
      </c>
      <c r="E45" t="s">
        <v>6</v>
      </c>
      <c r="F45" t="s">
        <v>200</v>
      </c>
    </row>
    <row r="46" spans="1:6" hidden="1" x14ac:dyDescent="0.2">
      <c r="A46">
        <v>1034</v>
      </c>
      <c r="B46">
        <v>12408</v>
      </c>
      <c r="C46">
        <v>-89</v>
      </c>
      <c r="D46">
        <v>7.17</v>
      </c>
      <c r="E46" t="s">
        <v>44</v>
      </c>
      <c r="F46" t="s">
        <v>200</v>
      </c>
    </row>
    <row r="47" spans="1:6" x14ac:dyDescent="0.2">
      <c r="A47">
        <v>31536</v>
      </c>
      <c r="B47">
        <v>15107</v>
      </c>
      <c r="C47">
        <v>-63</v>
      </c>
      <c r="D47">
        <v>0.03</v>
      </c>
      <c r="E47" t="s">
        <v>6</v>
      </c>
      <c r="F47" t="s">
        <v>201</v>
      </c>
    </row>
    <row r="48" spans="1:6" hidden="1" x14ac:dyDescent="0.2">
      <c r="A48">
        <v>45599</v>
      </c>
      <c r="B48">
        <v>38830</v>
      </c>
      <c r="C48">
        <v>-92</v>
      </c>
      <c r="D48">
        <v>4.83</v>
      </c>
      <c r="E48" t="s">
        <v>44</v>
      </c>
      <c r="F48" t="s">
        <v>201</v>
      </c>
    </row>
    <row r="49" spans="1:6" hidden="1" x14ac:dyDescent="0.2">
      <c r="A49">
        <v>1034</v>
      </c>
      <c r="B49">
        <v>12408</v>
      </c>
      <c r="C49">
        <v>-89</v>
      </c>
      <c r="D49">
        <v>6.95</v>
      </c>
      <c r="E49" t="s">
        <v>44</v>
      </c>
      <c r="F49" t="s">
        <v>201</v>
      </c>
    </row>
    <row r="50" spans="1:6" hidden="1" x14ac:dyDescent="0.2">
      <c r="A50">
        <v>1034</v>
      </c>
      <c r="B50">
        <v>12408</v>
      </c>
      <c r="C50">
        <v>0</v>
      </c>
      <c r="D50">
        <v>-1</v>
      </c>
      <c r="F50" t="s">
        <v>202</v>
      </c>
    </row>
    <row r="51" spans="1:6" x14ac:dyDescent="0.2">
      <c r="A51">
        <v>31536</v>
      </c>
      <c r="B51">
        <v>15107</v>
      </c>
      <c r="C51">
        <v>-62</v>
      </c>
      <c r="D51">
        <v>0.03</v>
      </c>
      <c r="E51" t="s">
        <v>6</v>
      </c>
      <c r="F51" t="s">
        <v>202</v>
      </c>
    </row>
    <row r="52" spans="1:6" hidden="1" x14ac:dyDescent="0.2">
      <c r="A52">
        <v>3873</v>
      </c>
      <c r="B52">
        <v>28141</v>
      </c>
      <c r="C52">
        <v>-93</v>
      </c>
      <c r="D52">
        <v>1.29</v>
      </c>
      <c r="E52" t="s">
        <v>8</v>
      </c>
      <c r="F52" t="s">
        <v>202</v>
      </c>
    </row>
    <row r="53" spans="1:6" hidden="1" x14ac:dyDescent="0.2">
      <c r="A53">
        <v>45599</v>
      </c>
      <c r="B53">
        <v>38830</v>
      </c>
      <c r="C53">
        <v>-95</v>
      </c>
      <c r="D53">
        <v>5</v>
      </c>
      <c r="E53" t="s">
        <v>44</v>
      </c>
      <c r="F53" t="s">
        <v>202</v>
      </c>
    </row>
    <row r="54" spans="1:6" hidden="1" x14ac:dyDescent="0.2">
      <c r="A54">
        <v>3873</v>
      </c>
      <c r="B54">
        <v>28141</v>
      </c>
      <c r="C54">
        <v>0</v>
      </c>
      <c r="D54">
        <v>-1</v>
      </c>
      <c r="F54" t="s">
        <v>203</v>
      </c>
    </row>
    <row r="55" spans="1:6" x14ac:dyDescent="0.2">
      <c r="A55">
        <v>31536</v>
      </c>
      <c r="B55">
        <v>15107</v>
      </c>
      <c r="C55">
        <v>-62</v>
      </c>
      <c r="D55">
        <v>0.03</v>
      </c>
      <c r="E55" t="s">
        <v>6</v>
      </c>
      <c r="F55" t="s">
        <v>203</v>
      </c>
    </row>
    <row r="56" spans="1:6" hidden="1" x14ac:dyDescent="0.2">
      <c r="A56">
        <v>45599</v>
      </c>
      <c r="B56">
        <v>38830</v>
      </c>
      <c r="C56">
        <v>-94</v>
      </c>
      <c r="D56">
        <v>5.04</v>
      </c>
      <c r="E56" t="s">
        <v>44</v>
      </c>
      <c r="F56" t="s">
        <v>203</v>
      </c>
    </row>
    <row r="57" spans="1:6" hidden="1" x14ac:dyDescent="0.2">
      <c r="A57">
        <v>1034</v>
      </c>
      <c r="B57">
        <v>12408</v>
      </c>
      <c r="C57">
        <v>-88</v>
      </c>
      <c r="D57">
        <v>6.66</v>
      </c>
      <c r="E57" t="s">
        <v>44</v>
      </c>
      <c r="F57" t="s">
        <v>203</v>
      </c>
    </row>
    <row r="58" spans="1:6" hidden="1" x14ac:dyDescent="0.2">
      <c r="A58">
        <v>3873</v>
      </c>
      <c r="B58">
        <v>28141</v>
      </c>
      <c r="C58">
        <v>0</v>
      </c>
      <c r="D58">
        <v>-1</v>
      </c>
      <c r="F58" t="s">
        <v>204</v>
      </c>
    </row>
    <row r="59" spans="1:6" hidden="1" x14ac:dyDescent="0.2">
      <c r="A59">
        <v>45599</v>
      </c>
      <c r="B59">
        <v>38830</v>
      </c>
      <c r="C59">
        <v>0</v>
      </c>
      <c r="D59">
        <v>-1</v>
      </c>
      <c r="F59" t="s">
        <v>204</v>
      </c>
    </row>
    <row r="60" spans="1:6" x14ac:dyDescent="0.2">
      <c r="A60">
        <v>31536</v>
      </c>
      <c r="B60">
        <v>15107</v>
      </c>
      <c r="C60">
        <v>-62</v>
      </c>
      <c r="D60">
        <v>0.02</v>
      </c>
      <c r="E60" t="s">
        <v>6</v>
      </c>
      <c r="F60" t="s">
        <v>204</v>
      </c>
    </row>
    <row r="61" spans="1:6" hidden="1" x14ac:dyDescent="0.2">
      <c r="A61">
        <v>1034</v>
      </c>
      <c r="B61">
        <v>12408</v>
      </c>
      <c r="C61">
        <v>-95</v>
      </c>
      <c r="D61">
        <v>6.91</v>
      </c>
      <c r="E61" t="s">
        <v>44</v>
      </c>
      <c r="F61" t="s">
        <v>204</v>
      </c>
    </row>
    <row r="62" spans="1:6" hidden="1" x14ac:dyDescent="0.2">
      <c r="A62">
        <v>3873</v>
      </c>
      <c r="B62">
        <v>28141</v>
      </c>
      <c r="C62">
        <v>0</v>
      </c>
      <c r="D62">
        <v>-1</v>
      </c>
      <c r="F62" t="s">
        <v>205</v>
      </c>
    </row>
    <row r="63" spans="1:6" x14ac:dyDescent="0.2">
      <c r="A63">
        <v>31536</v>
      </c>
      <c r="B63">
        <v>15107</v>
      </c>
      <c r="C63">
        <v>-63</v>
      </c>
      <c r="D63">
        <v>0.03</v>
      </c>
      <c r="E63" t="s">
        <v>6</v>
      </c>
      <c r="F63" t="s">
        <v>205</v>
      </c>
    </row>
    <row r="64" spans="1:6" hidden="1" x14ac:dyDescent="0.2">
      <c r="A64">
        <v>45599</v>
      </c>
      <c r="B64">
        <v>38830</v>
      </c>
      <c r="C64">
        <v>-91</v>
      </c>
      <c r="D64">
        <v>4.78</v>
      </c>
      <c r="E64" t="s">
        <v>44</v>
      </c>
      <c r="F64" t="s">
        <v>205</v>
      </c>
    </row>
    <row r="65" spans="1:6" hidden="1" x14ac:dyDescent="0.2">
      <c r="A65">
        <v>1034</v>
      </c>
      <c r="B65">
        <v>12408</v>
      </c>
      <c r="C65">
        <v>-88</v>
      </c>
      <c r="D65">
        <v>6.64</v>
      </c>
      <c r="E65" t="s">
        <v>44</v>
      </c>
      <c r="F65" t="s">
        <v>205</v>
      </c>
    </row>
    <row r="66" spans="1:6" hidden="1" x14ac:dyDescent="0.2">
      <c r="A66">
        <v>3873</v>
      </c>
      <c r="B66">
        <v>28141</v>
      </c>
      <c r="C66">
        <v>0</v>
      </c>
      <c r="D66">
        <v>-1</v>
      </c>
      <c r="F66" t="s">
        <v>206</v>
      </c>
    </row>
    <row r="67" spans="1:6" x14ac:dyDescent="0.2">
      <c r="A67">
        <v>31536</v>
      </c>
      <c r="B67">
        <v>15107</v>
      </c>
      <c r="C67">
        <v>-62</v>
      </c>
      <c r="D67">
        <v>0.03</v>
      </c>
      <c r="E67" t="s">
        <v>6</v>
      </c>
      <c r="F67" t="s">
        <v>206</v>
      </c>
    </row>
    <row r="68" spans="1:6" hidden="1" x14ac:dyDescent="0.2">
      <c r="A68">
        <v>45599</v>
      </c>
      <c r="B68">
        <v>38830</v>
      </c>
      <c r="C68">
        <v>-90</v>
      </c>
      <c r="D68">
        <v>4.4800000000000004</v>
      </c>
      <c r="E68" t="s">
        <v>44</v>
      </c>
      <c r="F68" t="s">
        <v>206</v>
      </c>
    </row>
    <row r="69" spans="1:6" hidden="1" x14ac:dyDescent="0.2">
      <c r="A69">
        <v>1034</v>
      </c>
      <c r="B69">
        <v>12408</v>
      </c>
      <c r="C69">
        <v>-91</v>
      </c>
      <c r="D69">
        <v>6.66</v>
      </c>
      <c r="E69" t="s">
        <v>44</v>
      </c>
      <c r="F69" t="s">
        <v>206</v>
      </c>
    </row>
    <row r="70" spans="1:6" hidden="1" x14ac:dyDescent="0.2">
      <c r="A70">
        <v>3873</v>
      </c>
      <c r="B70">
        <v>28141</v>
      </c>
      <c r="C70">
        <v>0</v>
      </c>
      <c r="D70">
        <v>-1</v>
      </c>
      <c r="F70" t="s">
        <v>207</v>
      </c>
    </row>
    <row r="71" spans="1:6" x14ac:dyDescent="0.2">
      <c r="A71">
        <v>31536</v>
      </c>
      <c r="B71">
        <v>15107</v>
      </c>
      <c r="C71">
        <v>-63</v>
      </c>
      <c r="D71">
        <v>0.03</v>
      </c>
      <c r="E71" t="s">
        <v>6</v>
      </c>
      <c r="F71" t="s">
        <v>207</v>
      </c>
    </row>
    <row r="72" spans="1:6" hidden="1" x14ac:dyDescent="0.2">
      <c r="A72">
        <v>45599</v>
      </c>
      <c r="B72">
        <v>38830</v>
      </c>
      <c r="C72">
        <v>-91</v>
      </c>
      <c r="D72">
        <v>4.3499999999999996</v>
      </c>
      <c r="E72" t="s">
        <v>44</v>
      </c>
      <c r="F72" t="s">
        <v>207</v>
      </c>
    </row>
    <row r="73" spans="1:6" hidden="1" x14ac:dyDescent="0.2">
      <c r="A73">
        <v>1034</v>
      </c>
      <c r="B73">
        <v>12408</v>
      </c>
      <c r="C73">
        <v>-92</v>
      </c>
      <c r="D73">
        <v>6.73</v>
      </c>
      <c r="E73" t="s">
        <v>44</v>
      </c>
      <c r="F73" t="s">
        <v>207</v>
      </c>
    </row>
    <row r="74" spans="1:6" x14ac:dyDescent="0.2">
      <c r="A74">
        <v>31536</v>
      </c>
      <c r="B74">
        <v>15107</v>
      </c>
      <c r="C74">
        <v>-63</v>
      </c>
      <c r="D74">
        <v>0.03</v>
      </c>
      <c r="E74" t="s">
        <v>6</v>
      </c>
      <c r="F74" t="s">
        <v>208</v>
      </c>
    </row>
    <row r="75" spans="1:6" hidden="1" x14ac:dyDescent="0.2">
      <c r="A75">
        <v>3873</v>
      </c>
      <c r="B75">
        <v>28141</v>
      </c>
      <c r="C75">
        <v>-94</v>
      </c>
      <c r="D75">
        <v>1.45</v>
      </c>
      <c r="E75" t="s">
        <v>8</v>
      </c>
      <c r="F75" t="s">
        <v>208</v>
      </c>
    </row>
    <row r="76" spans="1:6" hidden="1" x14ac:dyDescent="0.2">
      <c r="A76">
        <v>45599</v>
      </c>
      <c r="B76">
        <v>38830</v>
      </c>
      <c r="C76">
        <v>-94</v>
      </c>
      <c r="D76">
        <v>4.4400000000000004</v>
      </c>
      <c r="E76" t="s">
        <v>44</v>
      </c>
      <c r="F76" t="s">
        <v>208</v>
      </c>
    </row>
    <row r="77" spans="1:6" hidden="1" x14ac:dyDescent="0.2">
      <c r="A77">
        <v>1034</v>
      </c>
      <c r="B77">
        <v>12408</v>
      </c>
      <c r="C77">
        <v>-91</v>
      </c>
      <c r="D77">
        <v>6.73</v>
      </c>
      <c r="E77" t="s">
        <v>44</v>
      </c>
      <c r="F77" t="s">
        <v>208</v>
      </c>
    </row>
    <row r="78" spans="1:6" hidden="1" x14ac:dyDescent="0.2">
      <c r="A78">
        <v>3873</v>
      </c>
      <c r="B78">
        <v>28141</v>
      </c>
      <c r="C78">
        <v>0</v>
      </c>
      <c r="D78">
        <v>-1</v>
      </c>
      <c r="F78" t="s">
        <v>209</v>
      </c>
    </row>
    <row r="79" spans="1:6" hidden="1" x14ac:dyDescent="0.2">
      <c r="A79">
        <v>45599</v>
      </c>
      <c r="B79">
        <v>38830</v>
      </c>
      <c r="C79">
        <v>0</v>
      </c>
      <c r="D79">
        <v>-1</v>
      </c>
      <c r="F79" t="s">
        <v>209</v>
      </c>
    </row>
    <row r="80" spans="1:6" x14ac:dyDescent="0.2">
      <c r="A80">
        <v>31536</v>
      </c>
      <c r="B80">
        <v>15107</v>
      </c>
      <c r="C80">
        <v>-63</v>
      </c>
      <c r="D80">
        <v>0.03</v>
      </c>
      <c r="E80" t="s">
        <v>6</v>
      </c>
      <c r="F80" t="s">
        <v>209</v>
      </c>
    </row>
    <row r="81" spans="1:6" hidden="1" x14ac:dyDescent="0.2">
      <c r="A81">
        <v>1034</v>
      </c>
      <c r="B81">
        <v>12408</v>
      </c>
      <c r="C81">
        <v>-90</v>
      </c>
      <c r="D81">
        <v>6.68</v>
      </c>
      <c r="E81" t="s">
        <v>44</v>
      </c>
      <c r="F81" t="s">
        <v>209</v>
      </c>
    </row>
    <row r="82" spans="1:6" hidden="1" x14ac:dyDescent="0.2">
      <c r="A82">
        <v>3873</v>
      </c>
      <c r="B82">
        <v>28141</v>
      </c>
      <c r="C82">
        <v>0</v>
      </c>
      <c r="D82">
        <v>-1</v>
      </c>
      <c r="F82" t="s">
        <v>210</v>
      </c>
    </row>
    <row r="83" spans="1:6" hidden="1" x14ac:dyDescent="0.2">
      <c r="A83">
        <v>45599</v>
      </c>
      <c r="B83">
        <v>38830</v>
      </c>
      <c r="C83">
        <v>0</v>
      </c>
      <c r="D83">
        <v>-1</v>
      </c>
      <c r="F83" t="s">
        <v>210</v>
      </c>
    </row>
    <row r="84" spans="1:6" x14ac:dyDescent="0.2">
      <c r="A84">
        <v>31536</v>
      </c>
      <c r="B84">
        <v>15107</v>
      </c>
      <c r="C84">
        <v>-63</v>
      </c>
      <c r="D84">
        <v>0.03</v>
      </c>
      <c r="E84" t="s">
        <v>6</v>
      </c>
      <c r="F84" t="s">
        <v>210</v>
      </c>
    </row>
    <row r="85" spans="1:6" hidden="1" x14ac:dyDescent="0.2">
      <c r="A85">
        <v>1034</v>
      </c>
      <c r="B85">
        <v>12408</v>
      </c>
      <c r="C85">
        <v>-92</v>
      </c>
      <c r="D85">
        <v>6.74</v>
      </c>
      <c r="E85" t="s">
        <v>44</v>
      </c>
      <c r="F85" t="s">
        <v>210</v>
      </c>
    </row>
    <row r="86" spans="1:6" hidden="1" x14ac:dyDescent="0.2">
      <c r="A86">
        <v>3873</v>
      </c>
      <c r="B86">
        <v>28141</v>
      </c>
      <c r="C86">
        <v>0</v>
      </c>
      <c r="D86">
        <v>-1</v>
      </c>
      <c r="F86" t="s">
        <v>211</v>
      </c>
    </row>
    <row r="87" spans="1:6" x14ac:dyDescent="0.2">
      <c r="A87">
        <v>31536</v>
      </c>
      <c r="B87">
        <v>15107</v>
      </c>
      <c r="C87">
        <v>-62</v>
      </c>
      <c r="D87">
        <v>0.03</v>
      </c>
      <c r="E87" t="s">
        <v>6</v>
      </c>
      <c r="F87" t="s">
        <v>211</v>
      </c>
    </row>
    <row r="88" spans="1:6" hidden="1" x14ac:dyDescent="0.2">
      <c r="A88">
        <v>45599</v>
      </c>
      <c r="B88">
        <v>38830</v>
      </c>
      <c r="C88">
        <v>-90</v>
      </c>
      <c r="D88">
        <v>4.26</v>
      </c>
      <c r="E88" t="s">
        <v>44</v>
      </c>
      <c r="F88" t="s">
        <v>211</v>
      </c>
    </row>
    <row r="89" spans="1:6" hidden="1" x14ac:dyDescent="0.2">
      <c r="A89">
        <v>1034</v>
      </c>
      <c r="B89">
        <v>12408</v>
      </c>
      <c r="C89">
        <v>-90</v>
      </c>
      <c r="D89">
        <v>6.68</v>
      </c>
      <c r="E89" t="s">
        <v>44</v>
      </c>
      <c r="F89" t="s">
        <v>211</v>
      </c>
    </row>
    <row r="90" spans="1:6" hidden="1" x14ac:dyDescent="0.2">
      <c r="A90">
        <v>3873</v>
      </c>
      <c r="B90">
        <v>28141</v>
      </c>
      <c r="C90">
        <v>0</v>
      </c>
      <c r="D90">
        <v>-1</v>
      </c>
      <c r="F90" t="s">
        <v>212</v>
      </c>
    </row>
    <row r="91" spans="1:6" x14ac:dyDescent="0.2">
      <c r="A91">
        <v>31536</v>
      </c>
      <c r="B91">
        <v>15107</v>
      </c>
      <c r="C91">
        <v>-63</v>
      </c>
      <c r="D91">
        <v>0.03</v>
      </c>
      <c r="E91" t="s">
        <v>6</v>
      </c>
      <c r="F91" t="s">
        <v>212</v>
      </c>
    </row>
    <row r="92" spans="1:6" hidden="1" x14ac:dyDescent="0.2">
      <c r="A92">
        <v>45599</v>
      </c>
      <c r="B92">
        <v>38830</v>
      </c>
      <c r="C92">
        <v>-90</v>
      </c>
      <c r="D92">
        <v>4.09</v>
      </c>
      <c r="E92" t="s">
        <v>44</v>
      </c>
      <c r="F92" t="s">
        <v>212</v>
      </c>
    </row>
    <row r="93" spans="1:6" hidden="1" x14ac:dyDescent="0.2">
      <c r="A93">
        <v>1034</v>
      </c>
      <c r="B93">
        <v>12408</v>
      </c>
      <c r="C93">
        <v>-88</v>
      </c>
      <c r="D93">
        <v>6.5</v>
      </c>
      <c r="E93" t="s">
        <v>44</v>
      </c>
      <c r="F93" t="s">
        <v>212</v>
      </c>
    </row>
    <row r="94" spans="1:6" hidden="1" x14ac:dyDescent="0.2">
      <c r="A94">
        <v>3873</v>
      </c>
      <c r="B94">
        <v>28141</v>
      </c>
      <c r="C94">
        <v>0</v>
      </c>
      <c r="D94">
        <v>-1</v>
      </c>
      <c r="F94" t="s">
        <v>213</v>
      </c>
    </row>
    <row r="95" spans="1:6" x14ac:dyDescent="0.2">
      <c r="A95">
        <v>31536</v>
      </c>
      <c r="B95">
        <v>15107</v>
      </c>
      <c r="C95">
        <v>-63</v>
      </c>
      <c r="D95">
        <v>0.03</v>
      </c>
      <c r="E95" t="s">
        <v>6</v>
      </c>
      <c r="F95" t="s">
        <v>213</v>
      </c>
    </row>
    <row r="96" spans="1:6" hidden="1" x14ac:dyDescent="0.2">
      <c r="A96">
        <v>45599</v>
      </c>
      <c r="B96">
        <v>38830</v>
      </c>
      <c r="C96">
        <v>-91</v>
      </c>
      <c r="D96">
        <v>4.03</v>
      </c>
      <c r="E96" t="s">
        <v>44</v>
      </c>
      <c r="F96" t="s">
        <v>213</v>
      </c>
    </row>
    <row r="97" spans="1:6" hidden="1" x14ac:dyDescent="0.2">
      <c r="A97">
        <v>1034</v>
      </c>
      <c r="B97">
        <v>12408</v>
      </c>
      <c r="C97">
        <v>-93</v>
      </c>
      <c r="D97">
        <v>6.61</v>
      </c>
      <c r="E97" t="s">
        <v>44</v>
      </c>
      <c r="F97" t="s">
        <v>213</v>
      </c>
    </row>
    <row r="98" spans="1:6" x14ac:dyDescent="0.2">
      <c r="A98">
        <v>31536</v>
      </c>
      <c r="B98">
        <v>15107</v>
      </c>
      <c r="C98">
        <v>-63</v>
      </c>
      <c r="D98">
        <v>0.03</v>
      </c>
      <c r="E98" t="s">
        <v>6</v>
      </c>
      <c r="F98" t="s">
        <v>214</v>
      </c>
    </row>
    <row r="99" spans="1:6" hidden="1" x14ac:dyDescent="0.2">
      <c r="A99">
        <v>3873</v>
      </c>
      <c r="B99">
        <v>28141</v>
      </c>
      <c r="C99">
        <v>-96</v>
      </c>
      <c r="D99">
        <v>1.71</v>
      </c>
      <c r="E99" t="s">
        <v>8</v>
      </c>
      <c r="F99" t="s">
        <v>214</v>
      </c>
    </row>
    <row r="100" spans="1:6" hidden="1" x14ac:dyDescent="0.2">
      <c r="A100">
        <v>45599</v>
      </c>
      <c r="B100">
        <v>38830</v>
      </c>
      <c r="C100">
        <v>-93</v>
      </c>
      <c r="D100">
        <v>4.08</v>
      </c>
      <c r="E100" t="s">
        <v>44</v>
      </c>
      <c r="F100" t="s">
        <v>214</v>
      </c>
    </row>
    <row r="101" spans="1:6" hidden="1" x14ac:dyDescent="0.2">
      <c r="A101">
        <v>1034</v>
      </c>
      <c r="B101">
        <v>12408</v>
      </c>
      <c r="C101">
        <v>-90</v>
      </c>
      <c r="D101">
        <v>6.57</v>
      </c>
      <c r="E101" t="s">
        <v>44</v>
      </c>
      <c r="F101" t="s">
        <v>214</v>
      </c>
    </row>
    <row r="102" spans="1:6" hidden="1" x14ac:dyDescent="0.2">
      <c r="A102">
        <v>3873</v>
      </c>
      <c r="B102">
        <v>28141</v>
      </c>
      <c r="C102">
        <v>0</v>
      </c>
      <c r="D102">
        <v>-1</v>
      </c>
      <c r="F102" t="s">
        <v>215</v>
      </c>
    </row>
    <row r="103" spans="1:6" x14ac:dyDescent="0.2">
      <c r="A103">
        <v>31536</v>
      </c>
      <c r="B103">
        <v>15107</v>
      </c>
      <c r="C103">
        <v>-63</v>
      </c>
      <c r="D103">
        <v>0.03</v>
      </c>
      <c r="E103" t="s">
        <v>6</v>
      </c>
      <c r="F103" t="s">
        <v>215</v>
      </c>
    </row>
    <row r="104" spans="1:6" hidden="1" x14ac:dyDescent="0.2">
      <c r="A104">
        <v>45599</v>
      </c>
      <c r="B104">
        <v>38830</v>
      </c>
      <c r="C104">
        <v>-91</v>
      </c>
      <c r="D104">
        <v>4.03</v>
      </c>
      <c r="E104" t="s">
        <v>44</v>
      </c>
      <c r="F104" t="s">
        <v>215</v>
      </c>
    </row>
    <row r="105" spans="1:6" hidden="1" x14ac:dyDescent="0.2">
      <c r="A105">
        <v>1034</v>
      </c>
      <c r="B105">
        <v>12408</v>
      </c>
      <c r="C105">
        <v>-90</v>
      </c>
      <c r="D105">
        <v>6.53</v>
      </c>
      <c r="E105" t="s">
        <v>44</v>
      </c>
      <c r="F105" t="s">
        <v>215</v>
      </c>
    </row>
    <row r="106" spans="1:6" hidden="1" x14ac:dyDescent="0.2">
      <c r="A106">
        <v>3873</v>
      </c>
      <c r="B106">
        <v>28141</v>
      </c>
      <c r="C106">
        <v>0</v>
      </c>
      <c r="D106">
        <v>-1</v>
      </c>
      <c r="F106" t="s">
        <v>216</v>
      </c>
    </row>
    <row r="107" spans="1:6" x14ac:dyDescent="0.2">
      <c r="A107">
        <v>31536</v>
      </c>
      <c r="B107">
        <v>15107</v>
      </c>
      <c r="C107">
        <v>-63</v>
      </c>
      <c r="D107">
        <v>0.03</v>
      </c>
      <c r="E107" t="s">
        <v>6</v>
      </c>
      <c r="F107" t="s">
        <v>216</v>
      </c>
    </row>
    <row r="108" spans="1:6" hidden="1" x14ac:dyDescent="0.2">
      <c r="A108">
        <v>45599</v>
      </c>
      <c r="B108">
        <v>38830</v>
      </c>
      <c r="C108">
        <v>-94</v>
      </c>
      <c r="D108">
        <v>4.12</v>
      </c>
      <c r="E108" t="s">
        <v>44</v>
      </c>
      <c r="F108" t="s">
        <v>216</v>
      </c>
    </row>
    <row r="109" spans="1:6" hidden="1" x14ac:dyDescent="0.2">
      <c r="A109">
        <v>1034</v>
      </c>
      <c r="B109">
        <v>12408</v>
      </c>
      <c r="C109">
        <v>-91</v>
      </c>
      <c r="D109">
        <v>6.55</v>
      </c>
      <c r="E109" t="s">
        <v>44</v>
      </c>
      <c r="F109" t="s">
        <v>216</v>
      </c>
    </row>
    <row r="110" spans="1:6" hidden="1" x14ac:dyDescent="0.2">
      <c r="A110">
        <v>3873</v>
      </c>
      <c r="B110">
        <v>28141</v>
      </c>
      <c r="C110">
        <v>0</v>
      </c>
      <c r="D110">
        <v>-1</v>
      </c>
      <c r="F110" t="s">
        <v>217</v>
      </c>
    </row>
    <row r="111" spans="1:6" x14ac:dyDescent="0.2">
      <c r="A111">
        <v>31536</v>
      </c>
      <c r="B111">
        <v>15107</v>
      </c>
      <c r="C111">
        <v>-63</v>
      </c>
      <c r="D111">
        <v>0.03</v>
      </c>
      <c r="E111" t="s">
        <v>6</v>
      </c>
      <c r="F111" t="s">
        <v>217</v>
      </c>
    </row>
    <row r="112" spans="1:6" hidden="1" x14ac:dyDescent="0.2">
      <c r="A112">
        <v>45599</v>
      </c>
      <c r="B112">
        <v>38830</v>
      </c>
      <c r="C112">
        <v>-92</v>
      </c>
      <c r="D112">
        <v>4.12</v>
      </c>
      <c r="E112" t="s">
        <v>44</v>
      </c>
      <c r="F112" t="s">
        <v>217</v>
      </c>
    </row>
    <row r="113" spans="1:6" hidden="1" x14ac:dyDescent="0.2">
      <c r="A113">
        <v>1034</v>
      </c>
      <c r="B113">
        <v>12408</v>
      </c>
      <c r="C113">
        <v>-94</v>
      </c>
      <c r="D113">
        <v>6.68</v>
      </c>
      <c r="E113" t="s">
        <v>44</v>
      </c>
      <c r="F113" t="s">
        <v>217</v>
      </c>
    </row>
    <row r="114" spans="1:6" hidden="1" x14ac:dyDescent="0.2">
      <c r="A114">
        <v>3873</v>
      </c>
      <c r="B114">
        <v>28141</v>
      </c>
      <c r="C114">
        <v>0</v>
      </c>
      <c r="D114">
        <v>-1</v>
      </c>
      <c r="F114" t="s">
        <v>218</v>
      </c>
    </row>
    <row r="115" spans="1:6" x14ac:dyDescent="0.2">
      <c r="A115">
        <v>31536</v>
      </c>
      <c r="B115">
        <v>15107</v>
      </c>
      <c r="C115">
        <v>-63</v>
      </c>
      <c r="D115">
        <v>0.03</v>
      </c>
      <c r="E115" t="s">
        <v>6</v>
      </c>
      <c r="F115" t="s">
        <v>218</v>
      </c>
    </row>
    <row r="116" spans="1:6" hidden="1" x14ac:dyDescent="0.2">
      <c r="A116">
        <v>45599</v>
      </c>
      <c r="B116">
        <v>38830</v>
      </c>
      <c r="C116">
        <v>-92</v>
      </c>
      <c r="D116">
        <v>4.1100000000000003</v>
      </c>
      <c r="E116" t="s">
        <v>44</v>
      </c>
      <c r="F116" t="s">
        <v>218</v>
      </c>
    </row>
    <row r="117" spans="1:6" hidden="1" x14ac:dyDescent="0.2">
      <c r="A117">
        <v>1034</v>
      </c>
      <c r="B117">
        <v>12408</v>
      </c>
      <c r="C117">
        <v>-97</v>
      </c>
      <c r="D117">
        <v>6.89</v>
      </c>
      <c r="E117" t="s">
        <v>44</v>
      </c>
      <c r="F117" t="s">
        <v>218</v>
      </c>
    </row>
    <row r="118" spans="1:6" hidden="1" x14ac:dyDescent="0.2">
      <c r="A118">
        <v>3873</v>
      </c>
      <c r="B118">
        <v>28141</v>
      </c>
      <c r="C118">
        <v>0</v>
      </c>
      <c r="D118">
        <v>-1</v>
      </c>
      <c r="F118" t="s">
        <v>219</v>
      </c>
    </row>
    <row r="119" spans="1:6" x14ac:dyDescent="0.2">
      <c r="A119">
        <v>31536</v>
      </c>
      <c r="B119">
        <v>15107</v>
      </c>
      <c r="C119">
        <v>-63</v>
      </c>
      <c r="D119">
        <v>0.03</v>
      </c>
      <c r="E119" t="s">
        <v>6</v>
      </c>
      <c r="F119" t="s">
        <v>219</v>
      </c>
    </row>
    <row r="120" spans="1:6" hidden="1" x14ac:dyDescent="0.2">
      <c r="A120">
        <v>45599</v>
      </c>
      <c r="B120">
        <v>38830</v>
      </c>
      <c r="C120">
        <v>-94</v>
      </c>
      <c r="D120">
        <v>4.1900000000000004</v>
      </c>
      <c r="E120" t="s">
        <v>44</v>
      </c>
      <c r="F120" t="s">
        <v>219</v>
      </c>
    </row>
    <row r="121" spans="1:6" hidden="1" x14ac:dyDescent="0.2">
      <c r="A121">
        <v>1034</v>
      </c>
      <c r="B121">
        <v>12408</v>
      </c>
      <c r="C121">
        <v>-95</v>
      </c>
      <c r="D121">
        <v>7.05</v>
      </c>
      <c r="E121" t="s">
        <v>44</v>
      </c>
      <c r="F121" t="s">
        <v>219</v>
      </c>
    </row>
    <row r="122" spans="1:6" hidden="1" x14ac:dyDescent="0.2">
      <c r="A122">
        <v>1034</v>
      </c>
      <c r="B122">
        <v>12408</v>
      </c>
      <c r="C122">
        <v>0</v>
      </c>
      <c r="D122">
        <v>-1</v>
      </c>
      <c r="F122" t="s">
        <v>220</v>
      </c>
    </row>
    <row r="123" spans="1:6" hidden="1" x14ac:dyDescent="0.2">
      <c r="A123">
        <v>3873</v>
      </c>
      <c r="B123">
        <v>28141</v>
      </c>
      <c r="C123">
        <v>0</v>
      </c>
      <c r="D123">
        <v>-1</v>
      </c>
      <c r="F123" t="s">
        <v>220</v>
      </c>
    </row>
    <row r="124" spans="1:6" hidden="1" x14ac:dyDescent="0.2">
      <c r="A124">
        <v>45599</v>
      </c>
      <c r="B124">
        <v>38830</v>
      </c>
      <c r="C124">
        <v>0</v>
      </c>
      <c r="D124">
        <v>-1</v>
      </c>
      <c r="F124" t="s">
        <v>220</v>
      </c>
    </row>
    <row r="125" spans="1:6" x14ac:dyDescent="0.2">
      <c r="A125">
        <v>31536</v>
      </c>
      <c r="B125">
        <v>15107</v>
      </c>
      <c r="C125">
        <v>-63</v>
      </c>
      <c r="D125">
        <v>0.03</v>
      </c>
      <c r="E125" t="s">
        <v>6</v>
      </c>
      <c r="F125" t="s">
        <v>220</v>
      </c>
    </row>
    <row r="126" spans="1:6" hidden="1" x14ac:dyDescent="0.2">
      <c r="A126">
        <v>3873</v>
      </c>
      <c r="B126">
        <v>28141</v>
      </c>
      <c r="C126">
        <v>0</v>
      </c>
      <c r="D126">
        <v>-1</v>
      </c>
      <c r="F126" t="s">
        <v>221</v>
      </c>
    </row>
    <row r="127" spans="1:6" x14ac:dyDescent="0.2">
      <c r="A127">
        <v>31536</v>
      </c>
      <c r="B127">
        <v>15107</v>
      </c>
      <c r="C127">
        <v>-62</v>
      </c>
      <c r="D127">
        <v>0.03</v>
      </c>
      <c r="E127" t="s">
        <v>6</v>
      </c>
      <c r="F127" t="s">
        <v>221</v>
      </c>
    </row>
    <row r="128" spans="1:6" hidden="1" x14ac:dyDescent="0.2">
      <c r="A128">
        <v>45599</v>
      </c>
      <c r="B128">
        <v>38830</v>
      </c>
      <c r="C128">
        <v>-94</v>
      </c>
      <c r="D128">
        <v>4.26</v>
      </c>
      <c r="E128" t="s">
        <v>44</v>
      </c>
      <c r="F128" t="s">
        <v>221</v>
      </c>
    </row>
    <row r="129" spans="1:6" hidden="1" x14ac:dyDescent="0.2">
      <c r="A129">
        <v>1034</v>
      </c>
      <c r="B129">
        <v>12408</v>
      </c>
      <c r="C129">
        <v>-96</v>
      </c>
      <c r="D129">
        <v>7.23</v>
      </c>
      <c r="E129" t="s">
        <v>44</v>
      </c>
      <c r="F129" t="s">
        <v>221</v>
      </c>
    </row>
    <row r="130" spans="1:6" hidden="1" x14ac:dyDescent="0.2">
      <c r="A130">
        <v>3873</v>
      </c>
      <c r="B130">
        <v>28141</v>
      </c>
      <c r="C130">
        <v>0</v>
      </c>
      <c r="D130">
        <v>-1</v>
      </c>
      <c r="F130" t="s">
        <v>222</v>
      </c>
    </row>
    <row r="131" spans="1:6" x14ac:dyDescent="0.2">
      <c r="A131">
        <v>31536</v>
      </c>
      <c r="B131">
        <v>15107</v>
      </c>
      <c r="C131">
        <v>-63</v>
      </c>
      <c r="D131">
        <v>0.03</v>
      </c>
      <c r="E131" t="s">
        <v>6</v>
      </c>
      <c r="F131" t="s">
        <v>222</v>
      </c>
    </row>
    <row r="132" spans="1:6" hidden="1" x14ac:dyDescent="0.2">
      <c r="A132">
        <v>45599</v>
      </c>
      <c r="B132">
        <v>38830</v>
      </c>
      <c r="C132">
        <v>-92</v>
      </c>
      <c r="D132">
        <v>4.24</v>
      </c>
      <c r="E132" t="s">
        <v>44</v>
      </c>
      <c r="F132" t="s">
        <v>222</v>
      </c>
    </row>
    <row r="133" spans="1:6" hidden="1" x14ac:dyDescent="0.2">
      <c r="A133">
        <v>1034</v>
      </c>
      <c r="B133">
        <v>12408</v>
      </c>
      <c r="C133">
        <v>-92</v>
      </c>
      <c r="D133">
        <v>7.26</v>
      </c>
      <c r="E133" t="s">
        <v>44</v>
      </c>
      <c r="F133" t="s">
        <v>222</v>
      </c>
    </row>
    <row r="134" spans="1:6" hidden="1" x14ac:dyDescent="0.2">
      <c r="A134">
        <v>3873</v>
      </c>
      <c r="B134">
        <v>28141</v>
      </c>
      <c r="C134">
        <v>0</v>
      </c>
      <c r="D134">
        <v>-1</v>
      </c>
      <c r="F134" t="s">
        <v>223</v>
      </c>
    </row>
    <row r="135" spans="1:6" x14ac:dyDescent="0.2">
      <c r="A135">
        <v>31536</v>
      </c>
      <c r="B135">
        <v>15107</v>
      </c>
      <c r="C135">
        <v>-63</v>
      </c>
      <c r="D135">
        <v>0.03</v>
      </c>
      <c r="E135" t="s">
        <v>6</v>
      </c>
      <c r="F135" t="s">
        <v>223</v>
      </c>
    </row>
    <row r="136" spans="1:6" hidden="1" x14ac:dyDescent="0.2">
      <c r="A136">
        <v>45599</v>
      </c>
      <c r="B136">
        <v>38830</v>
      </c>
      <c r="C136">
        <v>-92</v>
      </c>
      <c r="D136">
        <v>4.2300000000000004</v>
      </c>
      <c r="E136" t="s">
        <v>44</v>
      </c>
      <c r="F136" t="s">
        <v>223</v>
      </c>
    </row>
    <row r="137" spans="1:6" hidden="1" x14ac:dyDescent="0.2">
      <c r="A137">
        <v>1034</v>
      </c>
      <c r="B137">
        <v>12408</v>
      </c>
      <c r="C137">
        <v>-92</v>
      </c>
      <c r="D137">
        <v>7.29</v>
      </c>
      <c r="E137" t="s">
        <v>44</v>
      </c>
      <c r="F137" t="s">
        <v>223</v>
      </c>
    </row>
    <row r="138" spans="1:6" hidden="1" x14ac:dyDescent="0.2">
      <c r="A138">
        <v>1034</v>
      </c>
      <c r="B138">
        <v>12408</v>
      </c>
      <c r="C138">
        <v>0</v>
      </c>
      <c r="D138">
        <v>-1</v>
      </c>
      <c r="F138" t="s">
        <v>224</v>
      </c>
    </row>
    <row r="139" spans="1:6" x14ac:dyDescent="0.2">
      <c r="A139">
        <v>31536</v>
      </c>
      <c r="B139">
        <v>15107</v>
      </c>
      <c r="C139">
        <v>-63</v>
      </c>
      <c r="D139">
        <v>0.03</v>
      </c>
      <c r="E139" t="s">
        <v>6</v>
      </c>
      <c r="F139" t="s">
        <v>224</v>
      </c>
    </row>
    <row r="140" spans="1:6" hidden="1" x14ac:dyDescent="0.2">
      <c r="A140">
        <v>45599</v>
      </c>
      <c r="B140">
        <v>38830</v>
      </c>
      <c r="C140">
        <v>-92</v>
      </c>
      <c r="D140">
        <v>4.22</v>
      </c>
      <c r="E140" t="s">
        <v>44</v>
      </c>
      <c r="F140" t="s">
        <v>224</v>
      </c>
    </row>
    <row r="141" spans="1:6" x14ac:dyDescent="0.2">
      <c r="A141">
        <v>31536</v>
      </c>
      <c r="B141">
        <v>15107</v>
      </c>
      <c r="C141">
        <v>-62</v>
      </c>
      <c r="D141">
        <v>0.03</v>
      </c>
      <c r="E141" t="s">
        <v>6</v>
      </c>
      <c r="F141" t="s">
        <v>225</v>
      </c>
    </row>
    <row r="142" spans="1:6" hidden="1" x14ac:dyDescent="0.2">
      <c r="A142">
        <v>45599</v>
      </c>
      <c r="B142">
        <v>38830</v>
      </c>
      <c r="C142">
        <v>-92</v>
      </c>
      <c r="D142">
        <v>4.21</v>
      </c>
      <c r="E142" t="s">
        <v>44</v>
      </c>
      <c r="F142" t="s">
        <v>225</v>
      </c>
    </row>
    <row r="143" spans="1:6" hidden="1" x14ac:dyDescent="0.2">
      <c r="A143">
        <v>2</v>
      </c>
      <c r="B143">
        <v>57382</v>
      </c>
      <c r="C143">
        <v>-94</v>
      </c>
      <c r="D143">
        <v>5.27</v>
      </c>
      <c r="E143" t="s">
        <v>44</v>
      </c>
      <c r="F143" t="s">
        <v>225</v>
      </c>
    </row>
    <row r="144" spans="1:6" hidden="1" x14ac:dyDescent="0.2">
      <c r="A144">
        <v>1034</v>
      </c>
      <c r="B144">
        <v>12408</v>
      </c>
      <c r="C144">
        <v>-89</v>
      </c>
      <c r="D144">
        <v>7.13</v>
      </c>
      <c r="E144" t="s">
        <v>44</v>
      </c>
      <c r="F144" t="s">
        <v>225</v>
      </c>
    </row>
    <row r="145" spans="1:6" hidden="1" x14ac:dyDescent="0.2">
      <c r="A145">
        <v>2</v>
      </c>
      <c r="B145">
        <v>57382</v>
      </c>
      <c r="C145">
        <v>0</v>
      </c>
      <c r="D145">
        <v>-1</v>
      </c>
      <c r="F145" t="s">
        <v>226</v>
      </c>
    </row>
    <row r="146" spans="1:6" x14ac:dyDescent="0.2">
      <c r="A146">
        <v>31536</v>
      </c>
      <c r="B146">
        <v>15107</v>
      </c>
      <c r="C146">
        <v>-63</v>
      </c>
      <c r="D146">
        <v>0.03</v>
      </c>
      <c r="E146" t="s">
        <v>6</v>
      </c>
      <c r="F146" t="s">
        <v>226</v>
      </c>
    </row>
    <row r="147" spans="1:6" hidden="1" x14ac:dyDescent="0.2">
      <c r="A147">
        <v>45599</v>
      </c>
      <c r="B147">
        <v>38830</v>
      </c>
      <c r="C147">
        <v>-96</v>
      </c>
      <c r="D147">
        <v>4.33</v>
      </c>
      <c r="E147" t="s">
        <v>44</v>
      </c>
      <c r="F147" t="s">
        <v>226</v>
      </c>
    </row>
    <row r="148" spans="1:6" hidden="1" x14ac:dyDescent="0.2">
      <c r="A148">
        <v>1034</v>
      </c>
      <c r="B148">
        <v>12408</v>
      </c>
      <c r="C148">
        <v>-92</v>
      </c>
      <c r="D148">
        <v>7.17</v>
      </c>
      <c r="E148" t="s">
        <v>44</v>
      </c>
      <c r="F148" t="s">
        <v>226</v>
      </c>
    </row>
    <row r="149" spans="1:6" hidden="1" x14ac:dyDescent="0.2">
      <c r="A149">
        <v>2</v>
      </c>
      <c r="B149">
        <v>57382</v>
      </c>
      <c r="C149">
        <v>0</v>
      </c>
      <c r="D149">
        <v>-1</v>
      </c>
      <c r="F149" t="s">
        <v>227</v>
      </c>
    </row>
    <row r="150" spans="1:6" x14ac:dyDescent="0.2">
      <c r="A150">
        <v>31536</v>
      </c>
      <c r="B150">
        <v>15107</v>
      </c>
      <c r="C150">
        <v>-63</v>
      </c>
      <c r="D150">
        <v>0.03</v>
      </c>
      <c r="E150" t="s">
        <v>6</v>
      </c>
      <c r="F150" t="s">
        <v>227</v>
      </c>
    </row>
    <row r="151" spans="1:6" hidden="1" x14ac:dyDescent="0.2">
      <c r="A151">
        <v>45599</v>
      </c>
      <c r="B151">
        <v>38830</v>
      </c>
      <c r="C151">
        <v>-96</v>
      </c>
      <c r="D151">
        <v>4.45</v>
      </c>
      <c r="E151" t="s">
        <v>44</v>
      </c>
      <c r="F151" t="s">
        <v>227</v>
      </c>
    </row>
    <row r="152" spans="1:6" hidden="1" x14ac:dyDescent="0.2">
      <c r="A152">
        <v>1034</v>
      </c>
      <c r="B152">
        <v>12408</v>
      </c>
      <c r="C152">
        <v>-94</v>
      </c>
      <c r="D152">
        <v>7.3</v>
      </c>
      <c r="E152" t="s">
        <v>44</v>
      </c>
      <c r="F152" t="s">
        <v>227</v>
      </c>
    </row>
    <row r="153" spans="1:6" hidden="1" x14ac:dyDescent="0.2">
      <c r="A153">
        <v>2</v>
      </c>
      <c r="B153">
        <v>57382</v>
      </c>
      <c r="C153">
        <v>0</v>
      </c>
      <c r="D153">
        <v>-1</v>
      </c>
      <c r="F153" t="s">
        <v>228</v>
      </c>
    </row>
    <row r="154" spans="1:6" x14ac:dyDescent="0.2">
      <c r="A154">
        <v>31536</v>
      </c>
      <c r="B154">
        <v>15107</v>
      </c>
      <c r="C154">
        <v>-63</v>
      </c>
      <c r="D154">
        <v>0.03</v>
      </c>
      <c r="E154" t="s">
        <v>6</v>
      </c>
      <c r="F154" t="s">
        <v>228</v>
      </c>
    </row>
    <row r="155" spans="1:6" hidden="1" x14ac:dyDescent="0.2">
      <c r="A155">
        <v>45599</v>
      </c>
      <c r="B155">
        <v>38830</v>
      </c>
      <c r="C155">
        <v>-94</v>
      </c>
      <c r="D155">
        <v>4.5</v>
      </c>
      <c r="E155" t="s">
        <v>44</v>
      </c>
      <c r="F155" t="s">
        <v>228</v>
      </c>
    </row>
    <row r="156" spans="1:6" hidden="1" x14ac:dyDescent="0.2">
      <c r="A156">
        <v>1034</v>
      </c>
      <c r="B156">
        <v>12408</v>
      </c>
      <c r="C156">
        <v>-94</v>
      </c>
      <c r="D156">
        <v>7.42</v>
      </c>
      <c r="E156" t="s">
        <v>44</v>
      </c>
      <c r="F156" t="s">
        <v>228</v>
      </c>
    </row>
    <row r="157" spans="1:6" hidden="1" x14ac:dyDescent="0.2">
      <c r="A157">
        <v>2</v>
      </c>
      <c r="B157">
        <v>57382</v>
      </c>
      <c r="C157">
        <v>0</v>
      </c>
      <c r="D157">
        <v>-1</v>
      </c>
      <c r="F157" t="s">
        <v>229</v>
      </c>
    </row>
    <row r="158" spans="1:6" x14ac:dyDescent="0.2">
      <c r="A158">
        <v>31536</v>
      </c>
      <c r="B158">
        <v>15107</v>
      </c>
      <c r="C158">
        <v>-63</v>
      </c>
      <c r="D158">
        <v>0.03</v>
      </c>
      <c r="E158" t="s">
        <v>6</v>
      </c>
      <c r="F158" t="s">
        <v>229</v>
      </c>
    </row>
    <row r="159" spans="1:6" hidden="1" x14ac:dyDescent="0.2">
      <c r="A159">
        <v>45599</v>
      </c>
      <c r="B159">
        <v>38830</v>
      </c>
      <c r="C159">
        <v>-94</v>
      </c>
      <c r="D159">
        <v>4.55</v>
      </c>
      <c r="E159" t="s">
        <v>44</v>
      </c>
      <c r="F159" t="s">
        <v>229</v>
      </c>
    </row>
    <row r="160" spans="1:6" hidden="1" x14ac:dyDescent="0.2">
      <c r="A160">
        <v>1034</v>
      </c>
      <c r="B160">
        <v>12408</v>
      </c>
      <c r="C160">
        <v>-98</v>
      </c>
      <c r="D160">
        <v>7.67</v>
      </c>
      <c r="E160" t="s">
        <v>44</v>
      </c>
      <c r="F160" t="s">
        <v>229</v>
      </c>
    </row>
    <row r="161" spans="1:6" hidden="1" x14ac:dyDescent="0.2">
      <c r="A161">
        <v>2</v>
      </c>
      <c r="B161">
        <v>57382</v>
      </c>
      <c r="C161">
        <v>0</v>
      </c>
      <c r="D161">
        <v>-1</v>
      </c>
      <c r="F161" t="s">
        <v>230</v>
      </c>
    </row>
    <row r="162" spans="1:6" x14ac:dyDescent="0.2">
      <c r="A162">
        <v>31536</v>
      </c>
      <c r="B162">
        <v>15107</v>
      </c>
      <c r="C162">
        <v>-63</v>
      </c>
      <c r="D162">
        <v>0.03</v>
      </c>
      <c r="E162" t="s">
        <v>6</v>
      </c>
      <c r="F162" t="s">
        <v>230</v>
      </c>
    </row>
    <row r="163" spans="1:6" hidden="1" x14ac:dyDescent="0.2">
      <c r="A163">
        <v>3873</v>
      </c>
      <c r="B163">
        <v>28141</v>
      </c>
      <c r="C163">
        <v>-94</v>
      </c>
      <c r="D163">
        <v>1.47</v>
      </c>
      <c r="E163" t="s">
        <v>8</v>
      </c>
      <c r="F163" t="s">
        <v>230</v>
      </c>
    </row>
    <row r="164" spans="1:6" hidden="1" x14ac:dyDescent="0.2">
      <c r="A164">
        <v>45599</v>
      </c>
      <c r="B164">
        <v>38830</v>
      </c>
      <c r="C164">
        <v>-94</v>
      </c>
      <c r="D164">
        <v>4.59</v>
      </c>
      <c r="E164" t="s">
        <v>44</v>
      </c>
      <c r="F164" t="s">
        <v>230</v>
      </c>
    </row>
    <row r="165" spans="1:6" hidden="1" x14ac:dyDescent="0.2">
      <c r="A165">
        <v>1034</v>
      </c>
      <c r="B165">
        <v>12408</v>
      </c>
      <c r="C165">
        <v>-95</v>
      </c>
      <c r="D165">
        <v>7.82</v>
      </c>
      <c r="E165" t="s">
        <v>44</v>
      </c>
      <c r="F165" t="s">
        <v>230</v>
      </c>
    </row>
    <row r="166" spans="1:6" hidden="1" x14ac:dyDescent="0.2">
      <c r="A166">
        <v>2</v>
      </c>
      <c r="B166">
        <v>57382</v>
      </c>
      <c r="C166">
        <v>0</v>
      </c>
      <c r="D166">
        <v>-1</v>
      </c>
      <c r="F166" t="s">
        <v>231</v>
      </c>
    </row>
    <row r="167" spans="1:6" hidden="1" x14ac:dyDescent="0.2">
      <c r="A167">
        <v>3873</v>
      </c>
      <c r="B167">
        <v>28141</v>
      </c>
      <c r="C167">
        <v>0</v>
      </c>
      <c r="D167">
        <v>-1</v>
      </c>
      <c r="F167" t="s">
        <v>231</v>
      </c>
    </row>
    <row r="168" spans="1:6" x14ac:dyDescent="0.2">
      <c r="A168">
        <v>31536</v>
      </c>
      <c r="B168">
        <v>15107</v>
      </c>
      <c r="C168">
        <v>-63</v>
      </c>
      <c r="D168">
        <v>0.03</v>
      </c>
      <c r="E168" t="s">
        <v>6</v>
      </c>
      <c r="F168" t="s">
        <v>231</v>
      </c>
    </row>
    <row r="169" spans="1:6" hidden="1" x14ac:dyDescent="0.2">
      <c r="A169">
        <v>45599</v>
      </c>
      <c r="B169">
        <v>38830</v>
      </c>
      <c r="C169">
        <v>-94</v>
      </c>
      <c r="D169">
        <v>4.6399999999999997</v>
      </c>
      <c r="E169" t="s">
        <v>44</v>
      </c>
      <c r="F169" t="s">
        <v>231</v>
      </c>
    </row>
    <row r="170" spans="1:6" hidden="1" x14ac:dyDescent="0.2">
      <c r="A170">
        <v>1034</v>
      </c>
      <c r="B170">
        <v>12408</v>
      </c>
      <c r="C170">
        <v>-93</v>
      </c>
      <c r="D170">
        <v>7.87</v>
      </c>
      <c r="E170" t="s">
        <v>44</v>
      </c>
      <c r="F170" t="s">
        <v>231</v>
      </c>
    </row>
    <row r="171" spans="1:6" hidden="1" x14ac:dyDescent="0.2">
      <c r="A171">
        <v>2</v>
      </c>
      <c r="B171">
        <v>57382</v>
      </c>
      <c r="C171">
        <v>0</v>
      </c>
      <c r="D171">
        <v>-1</v>
      </c>
      <c r="F171" t="s">
        <v>232</v>
      </c>
    </row>
    <row r="172" spans="1:6" hidden="1" x14ac:dyDescent="0.2">
      <c r="A172">
        <v>45599</v>
      </c>
      <c r="B172">
        <v>38830</v>
      </c>
      <c r="C172">
        <v>0</v>
      </c>
      <c r="D172">
        <v>-1</v>
      </c>
      <c r="F172" t="s">
        <v>232</v>
      </c>
    </row>
    <row r="173" spans="1:6" x14ac:dyDescent="0.2">
      <c r="A173">
        <v>31536</v>
      </c>
      <c r="B173">
        <v>15107</v>
      </c>
      <c r="C173">
        <v>-63</v>
      </c>
      <c r="D173">
        <v>0.03</v>
      </c>
      <c r="E173" t="s">
        <v>6</v>
      </c>
      <c r="F173" t="s">
        <v>232</v>
      </c>
    </row>
    <row r="174" spans="1:6" hidden="1" x14ac:dyDescent="0.2">
      <c r="A174">
        <v>3873</v>
      </c>
      <c r="B174">
        <v>28141</v>
      </c>
      <c r="C174">
        <v>-94</v>
      </c>
      <c r="D174">
        <v>1.47</v>
      </c>
      <c r="E174" t="s">
        <v>8</v>
      </c>
      <c r="F174" t="s">
        <v>232</v>
      </c>
    </row>
    <row r="175" spans="1:6" hidden="1" x14ac:dyDescent="0.2">
      <c r="A175">
        <v>1034</v>
      </c>
      <c r="B175">
        <v>12408</v>
      </c>
      <c r="C175">
        <v>-94</v>
      </c>
      <c r="D175">
        <v>7.96</v>
      </c>
      <c r="E175" t="s">
        <v>44</v>
      </c>
      <c r="F175" t="s">
        <v>232</v>
      </c>
    </row>
    <row r="176" spans="1:6" hidden="1" x14ac:dyDescent="0.2">
      <c r="A176">
        <v>2</v>
      </c>
      <c r="B176">
        <v>57382</v>
      </c>
      <c r="C176">
        <v>0</v>
      </c>
      <c r="D176">
        <v>-1</v>
      </c>
      <c r="F176" t="s">
        <v>233</v>
      </c>
    </row>
    <row r="177" spans="1:6" x14ac:dyDescent="0.2">
      <c r="A177">
        <v>31536</v>
      </c>
      <c r="B177">
        <v>15107</v>
      </c>
      <c r="C177">
        <v>-63</v>
      </c>
      <c r="D177">
        <v>0.03</v>
      </c>
      <c r="E177" t="s">
        <v>6</v>
      </c>
      <c r="F177" t="s">
        <v>233</v>
      </c>
    </row>
    <row r="178" spans="1:6" hidden="1" x14ac:dyDescent="0.2">
      <c r="A178">
        <v>3873</v>
      </c>
      <c r="B178">
        <v>28141</v>
      </c>
      <c r="C178">
        <v>-93</v>
      </c>
      <c r="D178">
        <v>1.36</v>
      </c>
      <c r="E178" t="s">
        <v>8</v>
      </c>
      <c r="F178" t="s">
        <v>233</v>
      </c>
    </row>
    <row r="179" spans="1:6" hidden="1" x14ac:dyDescent="0.2">
      <c r="A179">
        <v>45599</v>
      </c>
      <c r="B179">
        <v>38830</v>
      </c>
      <c r="C179">
        <v>-90</v>
      </c>
      <c r="D179">
        <v>4.49</v>
      </c>
      <c r="E179" t="s">
        <v>44</v>
      </c>
      <c r="F179" t="s">
        <v>233</v>
      </c>
    </row>
    <row r="180" spans="1:6" hidden="1" x14ac:dyDescent="0.2">
      <c r="A180">
        <v>1034</v>
      </c>
      <c r="B180">
        <v>12408</v>
      </c>
      <c r="C180">
        <v>-97</v>
      </c>
      <c r="D180">
        <v>8.17</v>
      </c>
      <c r="E180" t="s">
        <v>44</v>
      </c>
      <c r="F180" t="s">
        <v>233</v>
      </c>
    </row>
    <row r="181" spans="1:6" hidden="1" x14ac:dyDescent="0.2">
      <c r="A181">
        <v>2</v>
      </c>
      <c r="B181">
        <v>57382</v>
      </c>
      <c r="C181">
        <v>0</v>
      </c>
      <c r="D181">
        <v>-1</v>
      </c>
      <c r="F181" t="s">
        <v>234</v>
      </c>
    </row>
    <row r="182" spans="1:6" x14ac:dyDescent="0.2">
      <c r="A182">
        <v>31536</v>
      </c>
      <c r="B182">
        <v>15107</v>
      </c>
      <c r="C182">
        <v>-63</v>
      </c>
      <c r="D182">
        <v>0.03</v>
      </c>
      <c r="E182" t="s">
        <v>6</v>
      </c>
      <c r="F182" t="s">
        <v>234</v>
      </c>
    </row>
    <row r="183" spans="1:6" hidden="1" x14ac:dyDescent="0.2">
      <c r="A183">
        <v>3873</v>
      </c>
      <c r="B183">
        <v>28141</v>
      </c>
      <c r="C183">
        <v>-93</v>
      </c>
      <c r="D183">
        <v>1.33</v>
      </c>
      <c r="E183" t="s">
        <v>8</v>
      </c>
      <c r="F183" t="s">
        <v>234</v>
      </c>
    </row>
    <row r="184" spans="1:6" hidden="1" x14ac:dyDescent="0.2">
      <c r="A184">
        <v>45599</v>
      </c>
      <c r="B184">
        <v>38830</v>
      </c>
      <c r="C184">
        <v>-90</v>
      </c>
      <c r="D184">
        <v>4.3499999999999996</v>
      </c>
      <c r="E184" t="s">
        <v>44</v>
      </c>
      <c r="F184" t="s">
        <v>234</v>
      </c>
    </row>
    <row r="185" spans="1:6" hidden="1" x14ac:dyDescent="0.2">
      <c r="A185">
        <v>1034</v>
      </c>
      <c r="B185">
        <v>12408</v>
      </c>
      <c r="C185">
        <v>-92</v>
      </c>
      <c r="D185">
        <v>8.14</v>
      </c>
      <c r="E185" t="s">
        <v>44</v>
      </c>
      <c r="F185" t="s">
        <v>234</v>
      </c>
    </row>
    <row r="186" spans="1:6" x14ac:dyDescent="0.2">
      <c r="A186">
        <v>31536</v>
      </c>
      <c r="B186">
        <v>15107</v>
      </c>
      <c r="C186">
        <v>-63</v>
      </c>
      <c r="D186">
        <v>0.03</v>
      </c>
      <c r="E186" t="s">
        <v>6</v>
      </c>
      <c r="F186" t="s">
        <v>235</v>
      </c>
    </row>
    <row r="187" spans="1:6" hidden="1" x14ac:dyDescent="0.2">
      <c r="A187">
        <v>3873</v>
      </c>
      <c r="B187">
        <v>28141</v>
      </c>
      <c r="C187">
        <v>-93</v>
      </c>
      <c r="D187">
        <v>1.32</v>
      </c>
      <c r="E187" t="s">
        <v>8</v>
      </c>
      <c r="F187" t="s">
        <v>235</v>
      </c>
    </row>
    <row r="188" spans="1:6" hidden="1" x14ac:dyDescent="0.2">
      <c r="A188">
        <v>45599</v>
      </c>
      <c r="B188">
        <v>38830</v>
      </c>
      <c r="C188">
        <v>-94</v>
      </c>
      <c r="D188">
        <v>4.41</v>
      </c>
      <c r="E188" t="s">
        <v>44</v>
      </c>
      <c r="F188" t="s">
        <v>235</v>
      </c>
    </row>
    <row r="189" spans="1:6" hidden="1" x14ac:dyDescent="0.2">
      <c r="A189">
        <v>1034</v>
      </c>
      <c r="B189">
        <v>12408</v>
      </c>
      <c r="C189">
        <v>-92</v>
      </c>
      <c r="D189">
        <v>8.1199999999999992</v>
      </c>
      <c r="E189" t="s">
        <v>44</v>
      </c>
      <c r="F189" t="s">
        <v>235</v>
      </c>
    </row>
    <row r="190" spans="1:6" x14ac:dyDescent="0.2">
      <c r="A190">
        <v>31536</v>
      </c>
      <c r="B190">
        <v>15107</v>
      </c>
      <c r="C190">
        <v>-63</v>
      </c>
      <c r="D190">
        <v>0.03</v>
      </c>
      <c r="E190" t="s">
        <v>6</v>
      </c>
      <c r="F190" t="s">
        <v>236</v>
      </c>
    </row>
    <row r="191" spans="1:6" hidden="1" x14ac:dyDescent="0.2">
      <c r="A191">
        <v>3873</v>
      </c>
      <c r="B191">
        <v>28141</v>
      </c>
      <c r="C191">
        <v>-94</v>
      </c>
      <c r="D191">
        <v>1.36</v>
      </c>
      <c r="E191" t="s">
        <v>8</v>
      </c>
      <c r="F191" t="s">
        <v>236</v>
      </c>
    </row>
    <row r="192" spans="1:6" hidden="1" x14ac:dyDescent="0.2">
      <c r="A192">
        <v>45599</v>
      </c>
      <c r="B192">
        <v>38830</v>
      </c>
      <c r="C192">
        <v>-92</v>
      </c>
      <c r="D192">
        <v>4.3899999999999997</v>
      </c>
      <c r="E192" t="s">
        <v>44</v>
      </c>
      <c r="F192" t="s">
        <v>236</v>
      </c>
    </row>
    <row r="193" spans="1:6" hidden="1" x14ac:dyDescent="0.2">
      <c r="A193">
        <v>1034</v>
      </c>
      <c r="B193">
        <v>12408</v>
      </c>
      <c r="C193">
        <v>-90</v>
      </c>
      <c r="D193">
        <v>7.97</v>
      </c>
      <c r="E193" t="s">
        <v>44</v>
      </c>
      <c r="F193" t="s">
        <v>236</v>
      </c>
    </row>
    <row r="194" spans="1:6" hidden="1" x14ac:dyDescent="0.2">
      <c r="A194">
        <v>45599</v>
      </c>
      <c r="B194">
        <v>38830</v>
      </c>
      <c r="C194">
        <v>0</v>
      </c>
      <c r="D194">
        <v>-1</v>
      </c>
      <c r="F194" t="s">
        <v>237</v>
      </c>
    </row>
    <row r="195" spans="1:6" x14ac:dyDescent="0.2">
      <c r="A195">
        <v>31536</v>
      </c>
      <c r="B195">
        <v>15107</v>
      </c>
      <c r="C195">
        <v>-62</v>
      </c>
      <c r="D195">
        <v>0.03</v>
      </c>
      <c r="E195" t="s">
        <v>6</v>
      </c>
      <c r="F195" t="s">
        <v>237</v>
      </c>
    </row>
    <row r="196" spans="1:6" hidden="1" x14ac:dyDescent="0.2">
      <c r="A196">
        <v>3873</v>
      </c>
      <c r="B196">
        <v>28141</v>
      </c>
      <c r="C196">
        <v>-94</v>
      </c>
      <c r="D196">
        <v>1.38</v>
      </c>
      <c r="E196" t="s">
        <v>8</v>
      </c>
      <c r="F196" t="s">
        <v>237</v>
      </c>
    </row>
    <row r="197" spans="1:6" hidden="1" x14ac:dyDescent="0.2">
      <c r="A197">
        <v>1034</v>
      </c>
      <c r="B197">
        <v>12408</v>
      </c>
      <c r="C197">
        <v>-89</v>
      </c>
      <c r="D197">
        <v>7.77</v>
      </c>
      <c r="E197" t="s">
        <v>44</v>
      </c>
      <c r="F197" t="s">
        <v>237</v>
      </c>
    </row>
    <row r="198" spans="1:6" hidden="1" x14ac:dyDescent="0.2">
      <c r="A198">
        <v>3873</v>
      </c>
      <c r="B198">
        <v>28141</v>
      </c>
      <c r="C198">
        <v>0</v>
      </c>
      <c r="D198">
        <v>-1</v>
      </c>
      <c r="F198" t="s">
        <v>238</v>
      </c>
    </row>
    <row r="199" spans="1:6" hidden="1" x14ac:dyDescent="0.2">
      <c r="A199">
        <v>45599</v>
      </c>
      <c r="B199">
        <v>38830</v>
      </c>
      <c r="C199">
        <v>0</v>
      </c>
      <c r="D199">
        <v>-1</v>
      </c>
      <c r="F199" t="s">
        <v>238</v>
      </c>
    </row>
    <row r="200" spans="1:6" x14ac:dyDescent="0.2">
      <c r="A200">
        <v>31536</v>
      </c>
      <c r="B200">
        <v>15107</v>
      </c>
      <c r="C200">
        <v>-63</v>
      </c>
      <c r="D200">
        <v>0.03</v>
      </c>
      <c r="E200" t="s">
        <v>6</v>
      </c>
      <c r="F200" t="s">
        <v>238</v>
      </c>
    </row>
    <row r="201" spans="1:6" hidden="1" x14ac:dyDescent="0.2">
      <c r="A201">
        <v>1034</v>
      </c>
      <c r="B201">
        <v>12408</v>
      </c>
      <c r="C201">
        <v>-89</v>
      </c>
      <c r="D201">
        <v>7.58</v>
      </c>
      <c r="E201" t="s">
        <v>44</v>
      </c>
      <c r="F201" t="s">
        <v>238</v>
      </c>
    </row>
    <row r="202" spans="1:6" hidden="1" x14ac:dyDescent="0.2">
      <c r="A202">
        <v>3873</v>
      </c>
      <c r="B202">
        <v>28141</v>
      </c>
      <c r="C202">
        <v>0</v>
      </c>
      <c r="D202">
        <v>-1</v>
      </c>
      <c r="F202" t="s">
        <v>239</v>
      </c>
    </row>
    <row r="203" spans="1:6" x14ac:dyDescent="0.2">
      <c r="A203">
        <v>31536</v>
      </c>
      <c r="B203">
        <v>15107</v>
      </c>
      <c r="C203">
        <v>-63</v>
      </c>
      <c r="D203">
        <v>0.03</v>
      </c>
      <c r="E203" t="s">
        <v>6</v>
      </c>
      <c r="F203" t="s">
        <v>239</v>
      </c>
    </row>
    <row r="204" spans="1:6" hidden="1" x14ac:dyDescent="0.2">
      <c r="A204">
        <v>45599</v>
      </c>
      <c r="B204">
        <v>38830</v>
      </c>
      <c r="C204">
        <v>-96</v>
      </c>
      <c r="D204">
        <v>4.5</v>
      </c>
      <c r="E204" t="s">
        <v>44</v>
      </c>
      <c r="F204" t="s">
        <v>239</v>
      </c>
    </row>
    <row r="205" spans="1:6" hidden="1" x14ac:dyDescent="0.2">
      <c r="A205">
        <v>1034</v>
      </c>
      <c r="B205">
        <v>12408</v>
      </c>
      <c r="C205">
        <v>-88</v>
      </c>
      <c r="D205">
        <v>7.35</v>
      </c>
      <c r="E205" t="s">
        <v>44</v>
      </c>
      <c r="F205" t="s">
        <v>239</v>
      </c>
    </row>
    <row r="206" spans="1:6" x14ac:dyDescent="0.2">
      <c r="A206">
        <v>31536</v>
      </c>
      <c r="B206">
        <v>15107</v>
      </c>
      <c r="C206">
        <v>-64</v>
      </c>
      <c r="D206">
        <v>0.03</v>
      </c>
      <c r="E206" t="s">
        <v>6</v>
      </c>
      <c r="F206" t="s">
        <v>240</v>
      </c>
    </row>
    <row r="207" spans="1:6" hidden="1" x14ac:dyDescent="0.2">
      <c r="A207">
        <v>3873</v>
      </c>
      <c r="B207">
        <v>28141</v>
      </c>
      <c r="C207">
        <v>-93</v>
      </c>
      <c r="D207">
        <v>1.36</v>
      </c>
      <c r="E207" t="s">
        <v>8</v>
      </c>
      <c r="F207" t="s">
        <v>240</v>
      </c>
    </row>
    <row r="208" spans="1:6" hidden="1" x14ac:dyDescent="0.2">
      <c r="A208">
        <v>45599</v>
      </c>
      <c r="B208">
        <v>38830</v>
      </c>
      <c r="C208">
        <v>-97</v>
      </c>
      <c r="D208">
        <v>4.6900000000000004</v>
      </c>
      <c r="E208" t="s">
        <v>44</v>
      </c>
      <c r="F208" t="s">
        <v>240</v>
      </c>
    </row>
    <row r="209" spans="1:6" hidden="1" x14ac:dyDescent="0.2">
      <c r="A209">
        <v>1034</v>
      </c>
      <c r="B209">
        <v>12408</v>
      </c>
      <c r="C209">
        <v>-92</v>
      </c>
      <c r="D209">
        <v>7.37</v>
      </c>
      <c r="E209" t="s">
        <v>44</v>
      </c>
      <c r="F209" t="s">
        <v>240</v>
      </c>
    </row>
    <row r="210" spans="1:6" x14ac:dyDescent="0.2">
      <c r="A210">
        <v>31536</v>
      </c>
      <c r="B210">
        <v>15107</v>
      </c>
      <c r="C210">
        <v>-63</v>
      </c>
      <c r="D210">
        <v>0.03</v>
      </c>
      <c r="E210" t="s">
        <v>6</v>
      </c>
      <c r="F210" t="s">
        <v>241</v>
      </c>
    </row>
    <row r="211" spans="1:6" hidden="1" x14ac:dyDescent="0.2">
      <c r="A211">
        <v>3873</v>
      </c>
      <c r="B211">
        <v>28141</v>
      </c>
      <c r="C211">
        <v>-93</v>
      </c>
      <c r="D211">
        <v>1.34</v>
      </c>
      <c r="E211" t="s">
        <v>8</v>
      </c>
      <c r="F211" t="s">
        <v>241</v>
      </c>
    </row>
    <row r="212" spans="1:6" hidden="1" x14ac:dyDescent="0.2">
      <c r="A212">
        <v>45599</v>
      </c>
      <c r="B212">
        <v>38830</v>
      </c>
      <c r="C212">
        <v>-96</v>
      </c>
      <c r="D212">
        <v>4.83</v>
      </c>
      <c r="E212" t="s">
        <v>44</v>
      </c>
      <c r="F212" t="s">
        <v>241</v>
      </c>
    </row>
    <row r="213" spans="1:6" hidden="1" x14ac:dyDescent="0.2">
      <c r="A213">
        <v>1034</v>
      </c>
      <c r="B213">
        <v>12408</v>
      </c>
      <c r="C213">
        <v>-95</v>
      </c>
      <c r="D213">
        <v>7.5</v>
      </c>
      <c r="E213" t="s">
        <v>44</v>
      </c>
      <c r="F213" t="s">
        <v>241</v>
      </c>
    </row>
    <row r="214" spans="1:6" hidden="1" x14ac:dyDescent="0.2">
      <c r="A214">
        <v>1034</v>
      </c>
      <c r="B214">
        <v>12408</v>
      </c>
      <c r="C214">
        <v>0</v>
      </c>
      <c r="D214">
        <v>-1</v>
      </c>
      <c r="F214" t="s">
        <v>242</v>
      </c>
    </row>
    <row r="215" spans="1:6" hidden="1" x14ac:dyDescent="0.2">
      <c r="A215">
        <v>45599</v>
      </c>
      <c r="B215">
        <v>38830</v>
      </c>
      <c r="C215">
        <v>0</v>
      </c>
      <c r="D215">
        <v>-1</v>
      </c>
      <c r="F215" t="s">
        <v>242</v>
      </c>
    </row>
    <row r="216" spans="1:6" x14ac:dyDescent="0.2">
      <c r="A216">
        <v>31536</v>
      </c>
      <c r="B216">
        <v>15107</v>
      </c>
      <c r="C216">
        <v>-63</v>
      </c>
      <c r="D216">
        <v>0.03</v>
      </c>
      <c r="E216" t="s">
        <v>6</v>
      </c>
      <c r="F216" t="s">
        <v>242</v>
      </c>
    </row>
    <row r="217" spans="1:6" hidden="1" x14ac:dyDescent="0.2">
      <c r="A217">
        <v>3873</v>
      </c>
      <c r="B217">
        <v>28141</v>
      </c>
      <c r="C217">
        <v>-92</v>
      </c>
      <c r="D217">
        <v>1.3</v>
      </c>
      <c r="E217" t="s">
        <v>8</v>
      </c>
      <c r="F217" t="s">
        <v>242</v>
      </c>
    </row>
    <row r="218" spans="1:6" hidden="1" x14ac:dyDescent="0.2">
      <c r="A218">
        <v>45599</v>
      </c>
      <c r="B218">
        <v>38830</v>
      </c>
      <c r="C218">
        <v>0</v>
      </c>
      <c r="D218">
        <v>-1</v>
      </c>
      <c r="F218" t="s">
        <v>243</v>
      </c>
    </row>
    <row r="219" spans="1:6" x14ac:dyDescent="0.2">
      <c r="A219">
        <v>31536</v>
      </c>
      <c r="B219">
        <v>15107</v>
      </c>
      <c r="C219">
        <v>-63</v>
      </c>
      <c r="D219">
        <v>0.03</v>
      </c>
      <c r="E219" t="s">
        <v>6</v>
      </c>
      <c r="F219" t="s">
        <v>243</v>
      </c>
    </row>
    <row r="220" spans="1:6" hidden="1" x14ac:dyDescent="0.2">
      <c r="A220">
        <v>3873</v>
      </c>
      <c r="B220">
        <v>28141</v>
      </c>
      <c r="C220">
        <v>-92</v>
      </c>
      <c r="D220">
        <v>1.26</v>
      </c>
      <c r="E220" t="s">
        <v>8</v>
      </c>
      <c r="F220" t="s">
        <v>243</v>
      </c>
    </row>
    <row r="221" spans="1:6" hidden="1" x14ac:dyDescent="0.2">
      <c r="A221">
        <v>1034</v>
      </c>
      <c r="B221">
        <v>12408</v>
      </c>
      <c r="C221">
        <v>-94</v>
      </c>
      <c r="D221">
        <v>7.59</v>
      </c>
      <c r="E221" t="s">
        <v>44</v>
      </c>
      <c r="F221" t="s">
        <v>243</v>
      </c>
    </row>
    <row r="222" spans="1:6" hidden="1" x14ac:dyDescent="0.2">
      <c r="A222">
        <v>45599</v>
      </c>
      <c r="B222">
        <v>38830</v>
      </c>
      <c r="C222">
        <v>0</v>
      </c>
      <c r="D222">
        <v>-1</v>
      </c>
      <c r="F222" t="s">
        <v>244</v>
      </c>
    </row>
    <row r="223" spans="1:6" x14ac:dyDescent="0.2">
      <c r="A223">
        <v>31536</v>
      </c>
      <c r="B223">
        <v>15107</v>
      </c>
      <c r="C223">
        <v>-62</v>
      </c>
      <c r="D223">
        <v>0.03</v>
      </c>
      <c r="E223" t="s">
        <v>6</v>
      </c>
      <c r="F223" t="s">
        <v>244</v>
      </c>
    </row>
    <row r="224" spans="1:6" hidden="1" x14ac:dyDescent="0.2">
      <c r="A224">
        <v>3873</v>
      </c>
      <c r="B224">
        <v>28141</v>
      </c>
      <c r="C224">
        <v>-93</v>
      </c>
      <c r="D224">
        <v>1.27</v>
      </c>
      <c r="E224" t="s">
        <v>8</v>
      </c>
      <c r="F224" t="s">
        <v>244</v>
      </c>
    </row>
    <row r="225" spans="1:6" hidden="1" x14ac:dyDescent="0.2">
      <c r="A225">
        <v>1034</v>
      </c>
      <c r="B225">
        <v>12408</v>
      </c>
      <c r="C225">
        <v>-93</v>
      </c>
      <c r="D225">
        <v>7.65</v>
      </c>
      <c r="E225" t="s">
        <v>44</v>
      </c>
      <c r="F225" t="s">
        <v>244</v>
      </c>
    </row>
    <row r="226" spans="1:6" hidden="1" x14ac:dyDescent="0.2">
      <c r="A226">
        <v>45599</v>
      </c>
      <c r="B226">
        <v>38830</v>
      </c>
      <c r="C226">
        <v>0</v>
      </c>
      <c r="D226">
        <v>-1</v>
      </c>
      <c r="F226" t="s">
        <v>245</v>
      </c>
    </row>
    <row r="227" spans="1:6" x14ac:dyDescent="0.2">
      <c r="A227">
        <v>31536</v>
      </c>
      <c r="B227">
        <v>15107</v>
      </c>
      <c r="C227">
        <v>-63</v>
      </c>
      <c r="D227">
        <v>0.03</v>
      </c>
      <c r="E227" t="s">
        <v>6</v>
      </c>
      <c r="F227" t="s">
        <v>245</v>
      </c>
    </row>
    <row r="228" spans="1:6" hidden="1" x14ac:dyDescent="0.2">
      <c r="A228">
        <v>3873</v>
      </c>
      <c r="B228">
        <v>28141</v>
      </c>
      <c r="C228">
        <v>-93</v>
      </c>
      <c r="D228">
        <v>1.27</v>
      </c>
      <c r="E228" t="s">
        <v>8</v>
      </c>
      <c r="F228" t="s">
        <v>245</v>
      </c>
    </row>
    <row r="229" spans="1:6" hidden="1" x14ac:dyDescent="0.2">
      <c r="A229">
        <v>1034</v>
      </c>
      <c r="B229">
        <v>12408</v>
      </c>
      <c r="C229">
        <v>-94</v>
      </c>
      <c r="D229">
        <v>7.75</v>
      </c>
      <c r="E229" t="s">
        <v>44</v>
      </c>
      <c r="F229" t="s">
        <v>245</v>
      </c>
    </row>
    <row r="230" spans="1:6" hidden="1" x14ac:dyDescent="0.2">
      <c r="A230">
        <v>45599</v>
      </c>
      <c r="B230">
        <v>38830</v>
      </c>
      <c r="C230">
        <v>0</v>
      </c>
      <c r="D230">
        <v>-1</v>
      </c>
      <c r="F230" t="s">
        <v>246</v>
      </c>
    </row>
    <row r="231" spans="1:6" x14ac:dyDescent="0.2">
      <c r="A231">
        <v>31536</v>
      </c>
      <c r="B231">
        <v>15107</v>
      </c>
      <c r="C231">
        <v>-63</v>
      </c>
      <c r="D231">
        <v>0.03</v>
      </c>
      <c r="E231" t="s">
        <v>6</v>
      </c>
      <c r="F231" t="s">
        <v>246</v>
      </c>
    </row>
    <row r="232" spans="1:6" hidden="1" x14ac:dyDescent="0.2">
      <c r="A232">
        <v>3873</v>
      </c>
      <c r="B232">
        <v>28141</v>
      </c>
      <c r="C232">
        <v>-92</v>
      </c>
      <c r="D232">
        <v>1.25</v>
      </c>
      <c r="E232" t="s">
        <v>8</v>
      </c>
      <c r="F232" t="s">
        <v>246</v>
      </c>
    </row>
    <row r="233" spans="1:6" hidden="1" x14ac:dyDescent="0.2">
      <c r="A233">
        <v>1034</v>
      </c>
      <c r="B233">
        <v>12408</v>
      </c>
      <c r="C233">
        <v>-95</v>
      </c>
      <c r="D233">
        <v>7.89</v>
      </c>
      <c r="E233" t="s">
        <v>44</v>
      </c>
      <c r="F233" t="s">
        <v>246</v>
      </c>
    </row>
    <row r="234" spans="1:6" hidden="1" x14ac:dyDescent="0.2">
      <c r="A234">
        <v>45599</v>
      </c>
      <c r="B234">
        <v>38830</v>
      </c>
      <c r="C234">
        <v>0</v>
      </c>
      <c r="D234">
        <v>-1</v>
      </c>
      <c r="F234" t="s">
        <v>247</v>
      </c>
    </row>
    <row r="235" spans="1:6" x14ac:dyDescent="0.2">
      <c r="A235">
        <v>31536</v>
      </c>
      <c r="B235">
        <v>15107</v>
      </c>
      <c r="C235">
        <v>-63</v>
      </c>
      <c r="D235">
        <v>0.03</v>
      </c>
      <c r="E235" t="s">
        <v>6</v>
      </c>
      <c r="F235" t="s">
        <v>247</v>
      </c>
    </row>
    <row r="236" spans="1:6" hidden="1" x14ac:dyDescent="0.2">
      <c r="A236">
        <v>3873</v>
      </c>
      <c r="B236">
        <v>28141</v>
      </c>
      <c r="C236">
        <v>-94</v>
      </c>
      <c r="D236">
        <v>1.28</v>
      </c>
      <c r="E236" t="s">
        <v>8</v>
      </c>
      <c r="F236" t="s">
        <v>247</v>
      </c>
    </row>
    <row r="237" spans="1:6" hidden="1" x14ac:dyDescent="0.2">
      <c r="A237">
        <v>1034</v>
      </c>
      <c r="B237">
        <v>12408</v>
      </c>
      <c r="C237">
        <v>-94</v>
      </c>
      <c r="D237">
        <v>7.98</v>
      </c>
      <c r="E237" t="s">
        <v>44</v>
      </c>
      <c r="F237" t="s">
        <v>247</v>
      </c>
    </row>
    <row r="238" spans="1:6" hidden="1" x14ac:dyDescent="0.2">
      <c r="A238">
        <v>45599</v>
      </c>
      <c r="B238">
        <v>38830</v>
      </c>
      <c r="C238">
        <v>0</v>
      </c>
      <c r="D238">
        <v>-1</v>
      </c>
      <c r="F238" t="s">
        <v>248</v>
      </c>
    </row>
    <row r="239" spans="1:6" x14ac:dyDescent="0.2">
      <c r="A239">
        <v>31536</v>
      </c>
      <c r="B239">
        <v>15107</v>
      </c>
      <c r="C239">
        <v>-63</v>
      </c>
      <c r="D239">
        <v>0.03</v>
      </c>
      <c r="E239" t="s">
        <v>6</v>
      </c>
      <c r="F239" t="s">
        <v>248</v>
      </c>
    </row>
    <row r="240" spans="1:6" hidden="1" x14ac:dyDescent="0.2">
      <c r="A240">
        <v>3873</v>
      </c>
      <c r="B240">
        <v>28141</v>
      </c>
      <c r="C240">
        <v>-94</v>
      </c>
      <c r="D240">
        <v>1.3</v>
      </c>
      <c r="E240" t="s">
        <v>8</v>
      </c>
      <c r="F240" t="s">
        <v>248</v>
      </c>
    </row>
    <row r="241" spans="1:6" hidden="1" x14ac:dyDescent="0.2">
      <c r="A241">
        <v>1034</v>
      </c>
      <c r="B241">
        <v>12408</v>
      </c>
      <c r="C241">
        <v>-94</v>
      </c>
      <c r="D241">
        <v>8.06</v>
      </c>
      <c r="E241" t="s">
        <v>44</v>
      </c>
      <c r="F241" t="s">
        <v>248</v>
      </c>
    </row>
  </sheetData>
  <autoFilter ref="A1:F241" xr:uid="{00000000-0009-0000-0000-000006000000}">
    <filterColumn colId="0">
      <filters>
        <filter val="31536"/>
      </filters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120"/>
  <sheetViews>
    <sheetView workbookViewId="0">
      <selection activeCell="J4" sqref="J4"/>
    </sheetView>
  </sheetViews>
  <sheetFormatPr baseColWidth="10" defaultRowHeight="16" x14ac:dyDescent="0.2"/>
  <cols>
    <col min="6" max="6" width="17.83203125" bestFit="1" customWidth="1"/>
    <col min="9" max="9" width="14.1640625" bestFit="1" customWidth="1"/>
  </cols>
  <sheetData>
    <row r="1" spans="1:10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10" x14ac:dyDescent="0.2">
      <c r="A2">
        <v>45599</v>
      </c>
      <c r="B2">
        <v>38830</v>
      </c>
      <c r="C2">
        <v>-89</v>
      </c>
      <c r="D2">
        <v>2.78</v>
      </c>
      <c r="E2" t="s">
        <v>44</v>
      </c>
      <c r="F2" t="s">
        <v>249</v>
      </c>
    </row>
    <row r="3" spans="1:10" x14ac:dyDescent="0.2">
      <c r="A3">
        <v>45599</v>
      </c>
      <c r="B3">
        <v>38830</v>
      </c>
      <c r="C3">
        <v>-89</v>
      </c>
      <c r="D3">
        <v>2.78</v>
      </c>
      <c r="E3" t="s">
        <v>44</v>
      </c>
      <c r="F3" t="s">
        <v>250</v>
      </c>
      <c r="H3" t="s">
        <v>309</v>
      </c>
      <c r="I3" t="s">
        <v>310</v>
      </c>
      <c r="J3" t="s">
        <v>311</v>
      </c>
    </row>
    <row r="4" spans="1:10" x14ac:dyDescent="0.2">
      <c r="A4">
        <v>1034</v>
      </c>
      <c r="B4">
        <v>12408</v>
      </c>
      <c r="C4">
        <v>-95</v>
      </c>
      <c r="D4">
        <v>11.36</v>
      </c>
      <c r="E4" t="s">
        <v>44</v>
      </c>
      <c r="F4" t="s">
        <v>250</v>
      </c>
      <c r="H4">
        <v>3873</v>
      </c>
      <c r="I4">
        <f>COUNTIF(A2:A261, "3873")</f>
        <v>0</v>
      </c>
      <c r="J4">
        <v>-60.3</v>
      </c>
    </row>
    <row r="5" spans="1:10" x14ac:dyDescent="0.2">
      <c r="A5">
        <v>45599</v>
      </c>
      <c r="B5">
        <v>38830</v>
      </c>
      <c r="C5">
        <v>-92</v>
      </c>
      <c r="D5">
        <v>3.26</v>
      </c>
      <c r="E5" t="s">
        <v>44</v>
      </c>
      <c r="F5" t="s">
        <v>251</v>
      </c>
      <c r="H5">
        <v>31536</v>
      </c>
      <c r="I5">
        <f>COUNTIF(A2:A261, "31536")</f>
        <v>0</v>
      </c>
      <c r="J5">
        <v>-62.3</v>
      </c>
    </row>
    <row r="6" spans="1:10" x14ac:dyDescent="0.2">
      <c r="A6">
        <v>1034</v>
      </c>
      <c r="B6">
        <v>12408</v>
      </c>
      <c r="C6">
        <v>-94</v>
      </c>
      <c r="D6">
        <v>10.68</v>
      </c>
      <c r="E6" t="s">
        <v>44</v>
      </c>
      <c r="F6" t="s">
        <v>251</v>
      </c>
      <c r="H6">
        <v>17519</v>
      </c>
      <c r="I6">
        <f>COUNTIF(A2:A261, "17519")</f>
        <v>0</v>
      </c>
      <c r="J6">
        <v>0</v>
      </c>
    </row>
    <row r="7" spans="1:10" x14ac:dyDescent="0.2">
      <c r="A7">
        <v>45599</v>
      </c>
      <c r="B7">
        <v>38830</v>
      </c>
      <c r="C7">
        <v>-93</v>
      </c>
      <c r="D7">
        <v>3.62</v>
      </c>
      <c r="E7" t="s">
        <v>44</v>
      </c>
      <c r="F7" t="s">
        <v>252</v>
      </c>
      <c r="H7" t="s">
        <v>312</v>
      </c>
      <c r="I7">
        <f>COUNTIF(E2:E120, "")</f>
        <v>24</v>
      </c>
    </row>
    <row r="8" spans="1:10" x14ac:dyDescent="0.2">
      <c r="A8">
        <v>1034</v>
      </c>
      <c r="B8">
        <v>12408</v>
      </c>
      <c r="C8">
        <v>-94</v>
      </c>
      <c r="D8">
        <v>10.45</v>
      </c>
      <c r="E8" t="s">
        <v>44</v>
      </c>
      <c r="F8" t="s">
        <v>252</v>
      </c>
    </row>
    <row r="9" spans="1:10" x14ac:dyDescent="0.2">
      <c r="A9">
        <v>45599</v>
      </c>
      <c r="B9">
        <v>38830</v>
      </c>
      <c r="C9">
        <v>-92</v>
      </c>
      <c r="D9">
        <v>3.74</v>
      </c>
      <c r="E9" t="s">
        <v>44</v>
      </c>
      <c r="F9" t="s">
        <v>253</v>
      </c>
    </row>
    <row r="10" spans="1:10" x14ac:dyDescent="0.2">
      <c r="A10">
        <v>1034</v>
      </c>
      <c r="B10">
        <v>12408</v>
      </c>
      <c r="C10">
        <v>-97</v>
      </c>
      <c r="D10">
        <v>11.28</v>
      </c>
      <c r="E10" t="s">
        <v>44</v>
      </c>
      <c r="F10" t="s">
        <v>253</v>
      </c>
    </row>
    <row r="11" spans="1:10" x14ac:dyDescent="0.2">
      <c r="A11">
        <v>45599</v>
      </c>
      <c r="B11">
        <v>38830</v>
      </c>
      <c r="C11">
        <v>0</v>
      </c>
      <c r="D11">
        <v>-1</v>
      </c>
      <c r="F11" t="s">
        <v>254</v>
      </c>
    </row>
    <row r="12" spans="1:10" x14ac:dyDescent="0.2">
      <c r="A12">
        <v>1034</v>
      </c>
      <c r="B12">
        <v>12408</v>
      </c>
      <c r="C12">
        <v>-96</v>
      </c>
      <c r="D12">
        <v>11.59</v>
      </c>
      <c r="E12" t="s">
        <v>44</v>
      </c>
      <c r="F12" t="s">
        <v>254</v>
      </c>
    </row>
    <row r="13" spans="1:10" x14ac:dyDescent="0.2">
      <c r="A13">
        <v>1034</v>
      </c>
      <c r="B13">
        <v>12408</v>
      </c>
      <c r="C13">
        <v>0</v>
      </c>
      <c r="D13">
        <v>-1</v>
      </c>
      <c r="F13" t="s">
        <v>255</v>
      </c>
    </row>
    <row r="14" spans="1:10" x14ac:dyDescent="0.2">
      <c r="A14">
        <v>45599</v>
      </c>
      <c r="B14">
        <v>38830</v>
      </c>
      <c r="C14">
        <v>-94</v>
      </c>
      <c r="D14">
        <v>4.0199999999999996</v>
      </c>
      <c r="E14" t="s">
        <v>44</v>
      </c>
      <c r="F14" t="s">
        <v>255</v>
      </c>
    </row>
    <row r="15" spans="1:10" x14ac:dyDescent="0.2">
      <c r="A15">
        <v>45599</v>
      </c>
      <c r="B15">
        <v>38830</v>
      </c>
      <c r="C15">
        <v>-94</v>
      </c>
      <c r="D15">
        <v>4.2300000000000004</v>
      </c>
      <c r="E15" t="s">
        <v>44</v>
      </c>
      <c r="F15" t="s">
        <v>256</v>
      </c>
    </row>
    <row r="16" spans="1:10" x14ac:dyDescent="0.2">
      <c r="A16">
        <v>1034</v>
      </c>
      <c r="B16">
        <v>12408</v>
      </c>
      <c r="C16">
        <v>-95</v>
      </c>
      <c r="D16">
        <v>11.55</v>
      </c>
      <c r="E16" t="s">
        <v>44</v>
      </c>
      <c r="F16" t="s">
        <v>256</v>
      </c>
    </row>
    <row r="17" spans="1:6" x14ac:dyDescent="0.2">
      <c r="A17">
        <v>1034</v>
      </c>
      <c r="B17">
        <v>12408</v>
      </c>
      <c r="C17">
        <v>0</v>
      </c>
      <c r="D17">
        <v>-1</v>
      </c>
      <c r="F17" t="s">
        <v>257</v>
      </c>
    </row>
    <row r="18" spans="1:6" x14ac:dyDescent="0.2">
      <c r="A18">
        <v>45599</v>
      </c>
      <c r="B18">
        <v>38830</v>
      </c>
      <c r="C18">
        <v>-94</v>
      </c>
      <c r="D18">
        <v>4.3899999999999997</v>
      </c>
      <c r="E18" t="s">
        <v>44</v>
      </c>
      <c r="F18" t="s">
        <v>257</v>
      </c>
    </row>
    <row r="19" spans="1:6" x14ac:dyDescent="0.2">
      <c r="A19">
        <v>45599</v>
      </c>
      <c r="B19">
        <v>38830</v>
      </c>
      <c r="C19">
        <v>-94</v>
      </c>
      <c r="D19">
        <v>4.51</v>
      </c>
      <c r="E19" t="s">
        <v>44</v>
      </c>
      <c r="F19" t="s">
        <v>258</v>
      </c>
    </row>
    <row r="20" spans="1:6" x14ac:dyDescent="0.2">
      <c r="A20">
        <v>1034</v>
      </c>
      <c r="B20">
        <v>12408</v>
      </c>
      <c r="C20">
        <v>-94</v>
      </c>
      <c r="D20">
        <v>11.27</v>
      </c>
      <c r="E20" t="s">
        <v>44</v>
      </c>
      <c r="F20" t="s">
        <v>258</v>
      </c>
    </row>
    <row r="21" spans="1:6" x14ac:dyDescent="0.2">
      <c r="A21">
        <v>45599</v>
      </c>
      <c r="B21">
        <v>38830</v>
      </c>
      <c r="C21">
        <v>-96</v>
      </c>
      <c r="D21">
        <v>4.7300000000000004</v>
      </c>
      <c r="E21" t="s">
        <v>44</v>
      </c>
      <c r="F21" t="s">
        <v>259</v>
      </c>
    </row>
    <row r="22" spans="1:6" x14ac:dyDescent="0.2">
      <c r="A22">
        <v>1034</v>
      </c>
      <c r="B22">
        <v>12408</v>
      </c>
      <c r="C22">
        <v>-94</v>
      </c>
      <c r="D22">
        <v>11.06</v>
      </c>
      <c r="E22" t="s">
        <v>44</v>
      </c>
      <c r="F22" t="s">
        <v>259</v>
      </c>
    </row>
    <row r="23" spans="1:6" x14ac:dyDescent="0.2">
      <c r="A23">
        <v>45599</v>
      </c>
      <c r="B23">
        <v>38830</v>
      </c>
      <c r="C23">
        <v>-95</v>
      </c>
      <c r="D23">
        <v>4.8600000000000003</v>
      </c>
      <c r="E23" t="s">
        <v>44</v>
      </c>
      <c r="F23" t="s">
        <v>260</v>
      </c>
    </row>
    <row r="24" spans="1:6" x14ac:dyDescent="0.2">
      <c r="A24">
        <v>1034</v>
      </c>
      <c r="B24">
        <v>12408</v>
      </c>
      <c r="C24">
        <v>-94</v>
      </c>
      <c r="D24">
        <v>10.91</v>
      </c>
      <c r="E24" t="s">
        <v>44</v>
      </c>
      <c r="F24" t="s">
        <v>260</v>
      </c>
    </row>
    <row r="25" spans="1:6" x14ac:dyDescent="0.2">
      <c r="A25">
        <v>45599</v>
      </c>
      <c r="B25">
        <v>38830</v>
      </c>
      <c r="C25">
        <v>-94</v>
      </c>
      <c r="D25">
        <v>4.9000000000000004</v>
      </c>
      <c r="E25" t="s">
        <v>44</v>
      </c>
      <c r="F25" t="s">
        <v>261</v>
      </c>
    </row>
    <row r="26" spans="1:6" x14ac:dyDescent="0.2">
      <c r="A26">
        <v>1034</v>
      </c>
      <c r="B26">
        <v>12408</v>
      </c>
      <c r="C26">
        <v>-93</v>
      </c>
      <c r="D26">
        <v>10.62</v>
      </c>
      <c r="E26" t="s">
        <v>44</v>
      </c>
      <c r="F26" t="s">
        <v>261</v>
      </c>
    </row>
    <row r="27" spans="1:6" x14ac:dyDescent="0.2">
      <c r="A27">
        <v>45599</v>
      </c>
      <c r="B27">
        <v>38830</v>
      </c>
      <c r="C27">
        <v>-93</v>
      </c>
      <c r="D27">
        <v>4.87</v>
      </c>
      <c r="E27" t="s">
        <v>44</v>
      </c>
      <c r="F27" t="s">
        <v>262</v>
      </c>
    </row>
    <row r="28" spans="1:6" x14ac:dyDescent="0.2">
      <c r="A28">
        <v>1034</v>
      </c>
      <c r="B28">
        <v>12408</v>
      </c>
      <c r="C28">
        <v>-94</v>
      </c>
      <c r="D28">
        <v>10.55</v>
      </c>
      <c r="E28" t="s">
        <v>44</v>
      </c>
      <c r="F28" t="s">
        <v>262</v>
      </c>
    </row>
    <row r="29" spans="1:6" x14ac:dyDescent="0.2">
      <c r="A29">
        <v>45599</v>
      </c>
      <c r="B29">
        <v>38830</v>
      </c>
      <c r="C29">
        <v>-92</v>
      </c>
      <c r="D29">
        <v>4.78</v>
      </c>
      <c r="E29" t="s">
        <v>44</v>
      </c>
      <c r="F29" t="s">
        <v>263</v>
      </c>
    </row>
    <row r="30" spans="1:6" x14ac:dyDescent="0.2">
      <c r="A30">
        <v>1034</v>
      </c>
      <c r="B30">
        <v>12408</v>
      </c>
      <c r="C30">
        <v>-96</v>
      </c>
      <c r="D30">
        <v>10.74</v>
      </c>
      <c r="E30" t="s">
        <v>44</v>
      </c>
      <c r="F30" t="s">
        <v>263</v>
      </c>
    </row>
    <row r="31" spans="1:6" x14ac:dyDescent="0.2">
      <c r="A31">
        <v>1034</v>
      </c>
      <c r="B31">
        <v>12408</v>
      </c>
      <c r="C31">
        <v>0</v>
      </c>
      <c r="D31">
        <v>-1</v>
      </c>
      <c r="F31" t="s">
        <v>264</v>
      </c>
    </row>
    <row r="32" spans="1:6" x14ac:dyDescent="0.2">
      <c r="A32">
        <v>45599</v>
      </c>
      <c r="B32">
        <v>38830</v>
      </c>
      <c r="C32">
        <v>-94</v>
      </c>
      <c r="D32">
        <v>4.82</v>
      </c>
      <c r="E32" t="s">
        <v>44</v>
      </c>
      <c r="F32" t="s">
        <v>264</v>
      </c>
    </row>
    <row r="33" spans="1:6" x14ac:dyDescent="0.2">
      <c r="A33">
        <v>1034</v>
      </c>
      <c r="B33">
        <v>12408</v>
      </c>
      <c r="C33">
        <v>0</v>
      </c>
      <c r="D33">
        <v>-1</v>
      </c>
      <c r="F33" t="s">
        <v>265</v>
      </c>
    </row>
    <row r="34" spans="1:6" x14ac:dyDescent="0.2">
      <c r="A34">
        <v>45599</v>
      </c>
      <c r="B34">
        <v>38830</v>
      </c>
      <c r="C34">
        <v>-94</v>
      </c>
      <c r="D34">
        <v>4.8600000000000003</v>
      </c>
      <c r="E34" t="s">
        <v>44</v>
      </c>
      <c r="F34" t="s">
        <v>265</v>
      </c>
    </row>
    <row r="35" spans="1:6" x14ac:dyDescent="0.2">
      <c r="A35">
        <v>45599</v>
      </c>
      <c r="B35">
        <v>38830</v>
      </c>
      <c r="C35">
        <v>-95</v>
      </c>
      <c r="D35">
        <v>4.9400000000000004</v>
      </c>
      <c r="E35" t="s">
        <v>44</v>
      </c>
      <c r="F35" t="s">
        <v>266</v>
      </c>
    </row>
    <row r="36" spans="1:6" x14ac:dyDescent="0.2">
      <c r="A36">
        <v>1034</v>
      </c>
      <c r="B36">
        <v>12408</v>
      </c>
      <c r="C36">
        <v>-94</v>
      </c>
      <c r="D36">
        <v>10.67</v>
      </c>
      <c r="E36" t="s">
        <v>44</v>
      </c>
      <c r="F36" t="s">
        <v>266</v>
      </c>
    </row>
    <row r="37" spans="1:6" x14ac:dyDescent="0.2">
      <c r="A37">
        <v>45599</v>
      </c>
      <c r="B37">
        <v>38830</v>
      </c>
      <c r="C37">
        <v>-95</v>
      </c>
      <c r="D37">
        <v>5.01</v>
      </c>
      <c r="E37" t="s">
        <v>44</v>
      </c>
      <c r="F37" t="s">
        <v>267</v>
      </c>
    </row>
    <row r="38" spans="1:6" x14ac:dyDescent="0.2">
      <c r="A38">
        <v>1034</v>
      </c>
      <c r="B38">
        <v>12408</v>
      </c>
      <c r="C38">
        <v>-95</v>
      </c>
      <c r="D38">
        <v>10.73</v>
      </c>
      <c r="E38" t="s">
        <v>44</v>
      </c>
      <c r="F38" t="s">
        <v>267</v>
      </c>
    </row>
    <row r="39" spans="1:6" x14ac:dyDescent="0.2">
      <c r="A39">
        <v>45599</v>
      </c>
      <c r="B39">
        <v>38830</v>
      </c>
      <c r="C39">
        <v>-95</v>
      </c>
      <c r="D39">
        <v>5.07</v>
      </c>
      <c r="E39" t="s">
        <v>44</v>
      </c>
      <c r="F39" t="s">
        <v>268</v>
      </c>
    </row>
    <row r="40" spans="1:6" x14ac:dyDescent="0.2">
      <c r="A40">
        <v>1034</v>
      </c>
      <c r="B40">
        <v>12408</v>
      </c>
      <c r="C40">
        <v>-95</v>
      </c>
      <c r="D40">
        <v>10.78</v>
      </c>
      <c r="E40" t="s">
        <v>44</v>
      </c>
      <c r="F40" t="s">
        <v>268</v>
      </c>
    </row>
    <row r="41" spans="1:6" x14ac:dyDescent="0.2">
      <c r="A41">
        <v>45599</v>
      </c>
      <c r="B41">
        <v>38830</v>
      </c>
      <c r="C41">
        <v>-95</v>
      </c>
      <c r="D41">
        <v>5.13</v>
      </c>
      <c r="E41" t="s">
        <v>44</v>
      </c>
      <c r="F41" t="s">
        <v>269</v>
      </c>
    </row>
    <row r="42" spans="1:6" x14ac:dyDescent="0.2">
      <c r="A42">
        <v>1034</v>
      </c>
      <c r="B42">
        <v>12408</v>
      </c>
      <c r="C42">
        <v>-95</v>
      </c>
      <c r="D42">
        <v>10.83</v>
      </c>
      <c r="E42" t="s">
        <v>44</v>
      </c>
      <c r="F42" t="s">
        <v>269</v>
      </c>
    </row>
    <row r="43" spans="1:6" x14ac:dyDescent="0.2">
      <c r="A43">
        <v>45599</v>
      </c>
      <c r="B43">
        <v>38830</v>
      </c>
      <c r="C43">
        <v>-96</v>
      </c>
      <c r="D43">
        <v>5.22</v>
      </c>
      <c r="E43" t="s">
        <v>44</v>
      </c>
      <c r="F43" t="s">
        <v>270</v>
      </c>
    </row>
    <row r="44" spans="1:6" x14ac:dyDescent="0.2">
      <c r="A44">
        <v>1034</v>
      </c>
      <c r="B44">
        <v>12408</v>
      </c>
      <c r="C44">
        <v>-95</v>
      </c>
      <c r="D44">
        <v>10.87</v>
      </c>
      <c r="E44" t="s">
        <v>44</v>
      </c>
      <c r="F44" t="s">
        <v>270</v>
      </c>
    </row>
    <row r="45" spans="1:6" x14ac:dyDescent="0.2">
      <c r="A45">
        <v>45599</v>
      </c>
      <c r="B45">
        <v>38830</v>
      </c>
      <c r="C45">
        <v>-95</v>
      </c>
      <c r="D45">
        <v>5.27</v>
      </c>
      <c r="E45" t="s">
        <v>44</v>
      </c>
      <c r="F45" t="s">
        <v>271</v>
      </c>
    </row>
    <row r="46" spans="1:6" x14ac:dyDescent="0.2">
      <c r="A46">
        <v>1034</v>
      </c>
      <c r="B46">
        <v>12408</v>
      </c>
      <c r="C46">
        <v>-96</v>
      </c>
      <c r="D46">
        <v>11</v>
      </c>
      <c r="E46" t="s">
        <v>44</v>
      </c>
      <c r="F46" t="s">
        <v>271</v>
      </c>
    </row>
    <row r="47" spans="1:6" x14ac:dyDescent="0.2">
      <c r="A47">
        <v>45599</v>
      </c>
      <c r="B47">
        <v>38830</v>
      </c>
      <c r="C47">
        <v>-92</v>
      </c>
      <c r="D47">
        <v>5.17</v>
      </c>
      <c r="E47" t="s">
        <v>44</v>
      </c>
      <c r="F47" t="s">
        <v>272</v>
      </c>
    </row>
    <row r="48" spans="1:6" x14ac:dyDescent="0.2">
      <c r="A48">
        <v>1034</v>
      </c>
      <c r="B48">
        <v>12408</v>
      </c>
      <c r="C48">
        <v>-96</v>
      </c>
      <c r="D48">
        <v>11.11</v>
      </c>
      <c r="E48" t="s">
        <v>44</v>
      </c>
      <c r="F48" t="s">
        <v>272</v>
      </c>
    </row>
    <row r="49" spans="1:6" x14ac:dyDescent="0.2">
      <c r="A49">
        <v>45599</v>
      </c>
      <c r="B49">
        <v>38830</v>
      </c>
      <c r="C49">
        <v>-92</v>
      </c>
      <c r="D49">
        <v>5.08</v>
      </c>
      <c r="E49" t="s">
        <v>44</v>
      </c>
      <c r="F49" t="s">
        <v>273</v>
      </c>
    </row>
    <row r="50" spans="1:6" x14ac:dyDescent="0.2">
      <c r="A50">
        <v>1034</v>
      </c>
      <c r="B50">
        <v>12408</v>
      </c>
      <c r="C50">
        <v>-96</v>
      </c>
      <c r="D50">
        <v>11.21</v>
      </c>
      <c r="E50" t="s">
        <v>44</v>
      </c>
      <c r="F50" t="s">
        <v>273</v>
      </c>
    </row>
    <row r="51" spans="1:6" x14ac:dyDescent="0.2">
      <c r="A51">
        <v>45599</v>
      </c>
      <c r="B51">
        <v>38830</v>
      </c>
      <c r="C51">
        <v>-93</v>
      </c>
      <c r="D51">
        <v>5.05</v>
      </c>
      <c r="E51" t="s">
        <v>44</v>
      </c>
      <c r="F51" t="s">
        <v>274</v>
      </c>
    </row>
    <row r="52" spans="1:6" x14ac:dyDescent="0.2">
      <c r="A52">
        <v>1034</v>
      </c>
      <c r="B52">
        <v>12408</v>
      </c>
      <c r="C52">
        <v>-96</v>
      </c>
      <c r="D52">
        <v>11.31</v>
      </c>
      <c r="E52" t="s">
        <v>44</v>
      </c>
      <c r="F52" t="s">
        <v>274</v>
      </c>
    </row>
    <row r="53" spans="1:6" x14ac:dyDescent="0.2">
      <c r="A53">
        <v>1034</v>
      </c>
      <c r="B53">
        <v>12408</v>
      </c>
      <c r="C53">
        <v>0</v>
      </c>
      <c r="D53">
        <v>-1</v>
      </c>
      <c r="F53" t="s">
        <v>275</v>
      </c>
    </row>
    <row r="54" spans="1:6" x14ac:dyDescent="0.2">
      <c r="A54">
        <v>45599</v>
      </c>
      <c r="B54">
        <v>38830</v>
      </c>
      <c r="C54">
        <v>-95</v>
      </c>
      <c r="D54">
        <v>5.0999999999999996</v>
      </c>
      <c r="E54" t="s">
        <v>44</v>
      </c>
      <c r="F54" t="s">
        <v>275</v>
      </c>
    </row>
    <row r="55" spans="1:6" x14ac:dyDescent="0.2">
      <c r="A55">
        <v>45599</v>
      </c>
      <c r="B55">
        <v>38830</v>
      </c>
      <c r="C55">
        <v>-94</v>
      </c>
      <c r="D55">
        <v>5.1100000000000003</v>
      </c>
      <c r="E55" t="s">
        <v>44</v>
      </c>
      <c r="F55" t="s">
        <v>276</v>
      </c>
    </row>
    <row r="56" spans="1:6" x14ac:dyDescent="0.2">
      <c r="A56">
        <v>1034</v>
      </c>
      <c r="B56">
        <v>12408</v>
      </c>
      <c r="C56">
        <v>-94</v>
      </c>
      <c r="D56">
        <v>11.22</v>
      </c>
      <c r="E56" t="s">
        <v>44</v>
      </c>
      <c r="F56" t="s">
        <v>276</v>
      </c>
    </row>
    <row r="57" spans="1:6" x14ac:dyDescent="0.2">
      <c r="A57">
        <v>45599</v>
      </c>
      <c r="B57">
        <v>38830</v>
      </c>
      <c r="C57">
        <v>0</v>
      </c>
      <c r="D57">
        <v>-1</v>
      </c>
      <c r="F57" t="s">
        <v>277</v>
      </c>
    </row>
    <row r="58" spans="1:6" x14ac:dyDescent="0.2">
      <c r="A58">
        <v>1034</v>
      </c>
      <c r="B58">
        <v>12408</v>
      </c>
      <c r="C58">
        <v>-94</v>
      </c>
      <c r="D58">
        <v>11.13</v>
      </c>
      <c r="E58" t="s">
        <v>44</v>
      </c>
      <c r="F58" t="s">
        <v>277</v>
      </c>
    </row>
    <row r="59" spans="1:6" x14ac:dyDescent="0.2">
      <c r="A59">
        <v>45599</v>
      </c>
      <c r="B59">
        <v>38830</v>
      </c>
      <c r="C59">
        <v>0</v>
      </c>
      <c r="D59">
        <v>-1</v>
      </c>
      <c r="F59" t="s">
        <v>278</v>
      </c>
    </row>
    <row r="60" spans="1:6" x14ac:dyDescent="0.2">
      <c r="A60">
        <v>1034</v>
      </c>
      <c r="B60">
        <v>12408</v>
      </c>
      <c r="C60">
        <v>-97</v>
      </c>
      <c r="D60">
        <v>11.3</v>
      </c>
      <c r="E60" t="s">
        <v>44</v>
      </c>
      <c r="F60" t="s">
        <v>278</v>
      </c>
    </row>
    <row r="61" spans="1:6" x14ac:dyDescent="0.2">
      <c r="A61">
        <v>45599</v>
      </c>
      <c r="B61">
        <v>38830</v>
      </c>
      <c r="C61">
        <v>0</v>
      </c>
      <c r="D61">
        <v>-1</v>
      </c>
      <c r="F61" t="s">
        <v>279</v>
      </c>
    </row>
    <row r="62" spans="1:6" x14ac:dyDescent="0.2">
      <c r="A62">
        <v>1034</v>
      </c>
      <c r="B62">
        <v>12408</v>
      </c>
      <c r="C62">
        <v>-97</v>
      </c>
      <c r="D62">
        <v>11.45</v>
      </c>
      <c r="E62" t="s">
        <v>44</v>
      </c>
      <c r="F62" t="s">
        <v>279</v>
      </c>
    </row>
    <row r="63" spans="1:6" x14ac:dyDescent="0.2">
      <c r="A63">
        <v>1034</v>
      </c>
      <c r="B63">
        <v>12408</v>
      </c>
      <c r="C63">
        <v>0</v>
      </c>
      <c r="D63">
        <v>-1</v>
      </c>
      <c r="F63" t="s">
        <v>280</v>
      </c>
    </row>
    <row r="64" spans="1:6" x14ac:dyDescent="0.2">
      <c r="A64">
        <v>45599</v>
      </c>
      <c r="B64">
        <v>38830</v>
      </c>
      <c r="C64">
        <v>-92</v>
      </c>
      <c r="D64">
        <v>5.03</v>
      </c>
      <c r="E64" t="s">
        <v>44</v>
      </c>
      <c r="F64" t="s">
        <v>280</v>
      </c>
    </row>
    <row r="65" spans="1:6" x14ac:dyDescent="0.2">
      <c r="A65">
        <v>45599</v>
      </c>
      <c r="B65">
        <v>38830</v>
      </c>
      <c r="C65">
        <v>0</v>
      </c>
      <c r="D65">
        <v>-1</v>
      </c>
      <c r="F65" t="s">
        <v>281</v>
      </c>
    </row>
    <row r="66" spans="1:6" x14ac:dyDescent="0.2">
      <c r="A66">
        <v>1034</v>
      </c>
      <c r="B66">
        <v>12408</v>
      </c>
      <c r="C66">
        <v>-95</v>
      </c>
      <c r="D66">
        <v>11.45</v>
      </c>
      <c r="E66" t="s">
        <v>44</v>
      </c>
      <c r="F66" t="s">
        <v>281</v>
      </c>
    </row>
    <row r="67" spans="1:6" x14ac:dyDescent="0.2">
      <c r="A67">
        <v>45599</v>
      </c>
      <c r="B67">
        <v>38830</v>
      </c>
      <c r="C67">
        <v>-95</v>
      </c>
      <c r="D67">
        <v>5.12</v>
      </c>
      <c r="E67" t="s">
        <v>44</v>
      </c>
      <c r="F67" t="s">
        <v>282</v>
      </c>
    </row>
    <row r="68" spans="1:6" x14ac:dyDescent="0.2">
      <c r="A68">
        <v>1034</v>
      </c>
      <c r="B68">
        <v>12408</v>
      </c>
      <c r="C68">
        <v>-95</v>
      </c>
      <c r="D68">
        <v>11.44</v>
      </c>
      <c r="E68" t="s">
        <v>44</v>
      </c>
      <c r="F68" t="s">
        <v>282</v>
      </c>
    </row>
    <row r="69" spans="1:6" x14ac:dyDescent="0.2">
      <c r="A69">
        <v>45599</v>
      </c>
      <c r="B69">
        <v>38830</v>
      </c>
      <c r="C69">
        <v>-96</v>
      </c>
      <c r="D69">
        <v>5.26</v>
      </c>
      <c r="E69" t="s">
        <v>44</v>
      </c>
      <c r="F69" t="s">
        <v>283</v>
      </c>
    </row>
    <row r="70" spans="1:6" x14ac:dyDescent="0.2">
      <c r="A70">
        <v>1034</v>
      </c>
      <c r="B70">
        <v>12408</v>
      </c>
      <c r="C70">
        <v>-94</v>
      </c>
      <c r="D70">
        <v>11.35</v>
      </c>
      <c r="E70" t="s">
        <v>44</v>
      </c>
      <c r="F70" t="s">
        <v>283</v>
      </c>
    </row>
    <row r="71" spans="1:6" x14ac:dyDescent="0.2">
      <c r="A71">
        <v>45599</v>
      </c>
      <c r="B71">
        <v>38830</v>
      </c>
      <c r="C71">
        <v>-91</v>
      </c>
      <c r="D71">
        <v>5.03</v>
      </c>
      <c r="E71" t="s">
        <v>44</v>
      </c>
      <c r="F71" t="s">
        <v>284</v>
      </c>
    </row>
    <row r="72" spans="1:6" x14ac:dyDescent="0.2">
      <c r="A72">
        <v>1034</v>
      </c>
      <c r="B72">
        <v>12408</v>
      </c>
      <c r="C72">
        <v>-94</v>
      </c>
      <c r="D72">
        <v>11.26</v>
      </c>
      <c r="E72" t="s">
        <v>44</v>
      </c>
      <c r="F72" t="s">
        <v>284</v>
      </c>
    </row>
    <row r="73" spans="1:6" x14ac:dyDescent="0.2">
      <c r="A73">
        <v>1034</v>
      </c>
      <c r="B73">
        <v>12408</v>
      </c>
      <c r="C73">
        <v>0</v>
      </c>
      <c r="D73">
        <v>-1</v>
      </c>
      <c r="F73" t="s">
        <v>285</v>
      </c>
    </row>
    <row r="74" spans="1:6" x14ac:dyDescent="0.2">
      <c r="A74">
        <v>45599</v>
      </c>
      <c r="B74">
        <v>38830</v>
      </c>
      <c r="C74">
        <v>-92</v>
      </c>
      <c r="D74">
        <v>4.92</v>
      </c>
      <c r="E74" t="s">
        <v>44</v>
      </c>
      <c r="F74" t="s">
        <v>285</v>
      </c>
    </row>
    <row r="75" spans="1:6" x14ac:dyDescent="0.2">
      <c r="A75">
        <v>1034</v>
      </c>
      <c r="B75">
        <v>12408</v>
      </c>
      <c r="C75">
        <v>0</v>
      </c>
      <c r="D75">
        <v>-1</v>
      </c>
      <c r="F75" t="s">
        <v>286</v>
      </c>
    </row>
    <row r="76" spans="1:6" x14ac:dyDescent="0.2">
      <c r="A76">
        <v>45599</v>
      </c>
      <c r="B76">
        <v>38830</v>
      </c>
      <c r="C76">
        <v>-95</v>
      </c>
      <c r="D76">
        <v>5</v>
      </c>
      <c r="E76" t="s">
        <v>44</v>
      </c>
      <c r="F76" t="s">
        <v>286</v>
      </c>
    </row>
    <row r="77" spans="1:6" x14ac:dyDescent="0.2">
      <c r="A77">
        <v>1034</v>
      </c>
      <c r="B77">
        <v>12408</v>
      </c>
      <c r="C77">
        <v>0</v>
      </c>
      <c r="D77">
        <v>-1</v>
      </c>
      <c r="F77" t="s">
        <v>287</v>
      </c>
    </row>
    <row r="78" spans="1:6" x14ac:dyDescent="0.2">
      <c r="A78">
        <v>45599</v>
      </c>
      <c r="B78">
        <v>38830</v>
      </c>
      <c r="C78">
        <v>-96</v>
      </c>
      <c r="D78">
        <v>5.1100000000000003</v>
      </c>
      <c r="E78" t="s">
        <v>44</v>
      </c>
      <c r="F78" t="s">
        <v>287</v>
      </c>
    </row>
    <row r="79" spans="1:6" x14ac:dyDescent="0.2">
      <c r="A79">
        <v>1034</v>
      </c>
      <c r="B79">
        <v>12408</v>
      </c>
      <c r="C79">
        <v>0</v>
      </c>
      <c r="D79">
        <v>-1</v>
      </c>
      <c r="F79" t="s">
        <v>288</v>
      </c>
    </row>
    <row r="80" spans="1:6" x14ac:dyDescent="0.2">
      <c r="A80">
        <v>45599</v>
      </c>
      <c r="B80">
        <v>38830</v>
      </c>
      <c r="C80">
        <v>-95</v>
      </c>
      <c r="D80">
        <v>5.18</v>
      </c>
      <c r="E80" t="s">
        <v>44</v>
      </c>
      <c r="F80" t="s">
        <v>288</v>
      </c>
    </row>
    <row r="81" spans="1:6" x14ac:dyDescent="0.2">
      <c r="A81">
        <v>45599</v>
      </c>
      <c r="B81">
        <v>38830</v>
      </c>
      <c r="C81">
        <v>-93</v>
      </c>
      <c r="D81">
        <v>5.13</v>
      </c>
      <c r="E81" t="s">
        <v>44</v>
      </c>
      <c r="F81" t="s">
        <v>289</v>
      </c>
    </row>
    <row r="82" spans="1:6" x14ac:dyDescent="0.2">
      <c r="A82">
        <v>1034</v>
      </c>
      <c r="B82">
        <v>12408</v>
      </c>
      <c r="C82">
        <v>-97</v>
      </c>
      <c r="D82">
        <v>11.41</v>
      </c>
      <c r="E82" t="s">
        <v>44</v>
      </c>
      <c r="F82" t="s">
        <v>289</v>
      </c>
    </row>
    <row r="83" spans="1:6" x14ac:dyDescent="0.2">
      <c r="A83">
        <v>45599</v>
      </c>
      <c r="B83">
        <v>38830</v>
      </c>
      <c r="C83">
        <v>-94</v>
      </c>
      <c r="D83">
        <v>5.14</v>
      </c>
      <c r="E83" t="s">
        <v>44</v>
      </c>
      <c r="F83" t="s">
        <v>290</v>
      </c>
    </row>
    <row r="84" spans="1:6" x14ac:dyDescent="0.2">
      <c r="A84">
        <v>1034</v>
      </c>
      <c r="B84">
        <v>12408</v>
      </c>
      <c r="C84">
        <v>-97</v>
      </c>
      <c r="D84">
        <v>11.63</v>
      </c>
      <c r="E84" t="s">
        <v>44</v>
      </c>
      <c r="F84" t="s">
        <v>290</v>
      </c>
    </row>
    <row r="85" spans="1:6" x14ac:dyDescent="0.2">
      <c r="A85">
        <v>45599</v>
      </c>
      <c r="B85">
        <v>38830</v>
      </c>
      <c r="C85">
        <v>-93</v>
      </c>
      <c r="D85">
        <v>5.0999999999999996</v>
      </c>
      <c r="E85" t="s">
        <v>44</v>
      </c>
      <c r="F85" t="s">
        <v>291</v>
      </c>
    </row>
    <row r="86" spans="1:6" x14ac:dyDescent="0.2">
      <c r="A86">
        <v>1034</v>
      </c>
      <c r="B86">
        <v>12408</v>
      </c>
      <c r="C86">
        <v>-96</v>
      </c>
      <c r="D86">
        <v>11.72</v>
      </c>
      <c r="E86" t="s">
        <v>44</v>
      </c>
      <c r="F86" t="s">
        <v>291</v>
      </c>
    </row>
    <row r="87" spans="1:6" x14ac:dyDescent="0.2">
      <c r="A87">
        <v>45599</v>
      </c>
      <c r="B87">
        <v>38830</v>
      </c>
      <c r="C87">
        <v>-92</v>
      </c>
      <c r="D87">
        <v>5.01</v>
      </c>
      <c r="E87" t="s">
        <v>44</v>
      </c>
      <c r="F87" t="s">
        <v>292</v>
      </c>
    </row>
    <row r="88" spans="1:6" x14ac:dyDescent="0.2">
      <c r="A88">
        <v>1034</v>
      </c>
      <c r="B88">
        <v>12408</v>
      </c>
      <c r="C88">
        <v>-96</v>
      </c>
      <c r="D88">
        <v>11.8</v>
      </c>
      <c r="E88" t="s">
        <v>44</v>
      </c>
      <c r="F88" t="s">
        <v>292</v>
      </c>
    </row>
    <row r="89" spans="1:6" x14ac:dyDescent="0.2">
      <c r="A89">
        <v>45599</v>
      </c>
      <c r="B89">
        <v>38830</v>
      </c>
      <c r="C89">
        <v>-96</v>
      </c>
      <c r="D89">
        <v>5.1100000000000003</v>
      </c>
      <c r="E89" t="s">
        <v>44</v>
      </c>
      <c r="F89" t="s">
        <v>293</v>
      </c>
    </row>
    <row r="90" spans="1:6" x14ac:dyDescent="0.2">
      <c r="A90">
        <v>1034</v>
      </c>
      <c r="B90">
        <v>12408</v>
      </c>
      <c r="C90">
        <v>-94</v>
      </c>
      <c r="D90">
        <v>11.65</v>
      </c>
      <c r="E90" t="s">
        <v>44</v>
      </c>
      <c r="F90" t="s">
        <v>293</v>
      </c>
    </row>
    <row r="91" spans="1:6" x14ac:dyDescent="0.2">
      <c r="A91">
        <v>45599</v>
      </c>
      <c r="B91">
        <v>38830</v>
      </c>
      <c r="C91">
        <v>-94</v>
      </c>
      <c r="D91">
        <v>5.12</v>
      </c>
      <c r="E91" t="s">
        <v>44</v>
      </c>
      <c r="F91" t="s">
        <v>294</v>
      </c>
    </row>
    <row r="92" spans="1:6" x14ac:dyDescent="0.2">
      <c r="A92">
        <v>1034</v>
      </c>
      <c r="B92">
        <v>12408</v>
      </c>
      <c r="C92">
        <v>-94</v>
      </c>
      <c r="D92">
        <v>11.52</v>
      </c>
      <c r="E92" t="s">
        <v>44</v>
      </c>
      <c r="F92" t="s">
        <v>294</v>
      </c>
    </row>
    <row r="93" spans="1:6" x14ac:dyDescent="0.2">
      <c r="A93">
        <v>45599</v>
      </c>
      <c r="B93">
        <v>38830</v>
      </c>
      <c r="C93">
        <v>-93</v>
      </c>
      <c r="D93">
        <v>5.08</v>
      </c>
      <c r="E93" t="s">
        <v>44</v>
      </c>
      <c r="F93" t="s">
        <v>295</v>
      </c>
    </row>
    <row r="94" spans="1:6" x14ac:dyDescent="0.2">
      <c r="A94">
        <v>1034</v>
      </c>
      <c r="B94">
        <v>12408</v>
      </c>
      <c r="C94">
        <v>-97</v>
      </c>
      <c r="D94">
        <v>11.69</v>
      </c>
      <c r="E94" t="s">
        <v>44</v>
      </c>
      <c r="F94" t="s">
        <v>295</v>
      </c>
    </row>
    <row r="95" spans="1:6" x14ac:dyDescent="0.2">
      <c r="A95">
        <v>1034</v>
      </c>
      <c r="B95">
        <v>12408</v>
      </c>
      <c r="C95">
        <v>0</v>
      </c>
      <c r="D95">
        <v>-1</v>
      </c>
      <c r="F95" t="s">
        <v>296</v>
      </c>
    </row>
    <row r="96" spans="1:6" x14ac:dyDescent="0.2">
      <c r="A96">
        <v>45599</v>
      </c>
      <c r="B96">
        <v>38830</v>
      </c>
      <c r="C96">
        <v>-93</v>
      </c>
      <c r="D96">
        <v>5.05</v>
      </c>
      <c r="E96" t="s">
        <v>44</v>
      </c>
      <c r="F96" t="s">
        <v>296</v>
      </c>
    </row>
    <row r="97" spans="1:6" x14ac:dyDescent="0.2">
      <c r="A97">
        <v>1034</v>
      </c>
      <c r="B97">
        <v>12408</v>
      </c>
      <c r="C97">
        <v>0</v>
      </c>
      <c r="D97">
        <v>-1</v>
      </c>
      <c r="F97" t="s">
        <v>297</v>
      </c>
    </row>
    <row r="98" spans="1:6" x14ac:dyDescent="0.2">
      <c r="A98">
        <v>45599</v>
      </c>
      <c r="B98">
        <v>38830</v>
      </c>
      <c r="C98">
        <v>-94</v>
      </c>
      <c r="D98">
        <v>5.0599999999999996</v>
      </c>
      <c r="E98" t="s">
        <v>44</v>
      </c>
      <c r="F98" t="s">
        <v>297</v>
      </c>
    </row>
    <row r="99" spans="1:6" x14ac:dyDescent="0.2">
      <c r="A99">
        <v>45599</v>
      </c>
      <c r="B99">
        <v>38830</v>
      </c>
      <c r="C99">
        <v>0</v>
      </c>
      <c r="D99">
        <v>-1</v>
      </c>
      <c r="F99" t="s">
        <v>298</v>
      </c>
    </row>
    <row r="100" spans="1:6" x14ac:dyDescent="0.2">
      <c r="A100">
        <v>1034</v>
      </c>
      <c r="B100">
        <v>12408</v>
      </c>
      <c r="C100">
        <v>-95</v>
      </c>
      <c r="D100">
        <v>11.67</v>
      </c>
      <c r="E100" t="s">
        <v>44</v>
      </c>
      <c r="F100" t="s">
        <v>298</v>
      </c>
    </row>
    <row r="101" spans="1:6" x14ac:dyDescent="0.2">
      <c r="A101">
        <v>45599</v>
      </c>
      <c r="B101">
        <v>38830</v>
      </c>
      <c r="C101">
        <v>0</v>
      </c>
      <c r="D101">
        <v>-1</v>
      </c>
      <c r="F101" t="s">
        <v>299</v>
      </c>
    </row>
    <row r="102" spans="1:6" x14ac:dyDescent="0.2">
      <c r="A102">
        <v>1034</v>
      </c>
      <c r="B102">
        <v>12408</v>
      </c>
      <c r="C102">
        <v>-95</v>
      </c>
      <c r="D102">
        <v>11.64</v>
      </c>
      <c r="E102" t="s">
        <v>44</v>
      </c>
      <c r="F102" t="s">
        <v>299</v>
      </c>
    </row>
    <row r="103" spans="1:6" x14ac:dyDescent="0.2">
      <c r="A103">
        <v>1034</v>
      </c>
      <c r="B103">
        <v>12408</v>
      </c>
      <c r="C103">
        <v>0</v>
      </c>
      <c r="D103">
        <v>-1</v>
      </c>
      <c r="F103" t="s">
        <v>300</v>
      </c>
    </row>
    <row r="104" spans="1:6" x14ac:dyDescent="0.2">
      <c r="A104">
        <v>45599</v>
      </c>
      <c r="B104">
        <v>38830</v>
      </c>
      <c r="C104">
        <v>-96</v>
      </c>
      <c r="D104">
        <v>5.15</v>
      </c>
      <c r="E104" t="s">
        <v>44</v>
      </c>
      <c r="F104" t="s">
        <v>300</v>
      </c>
    </row>
    <row r="105" spans="1:6" x14ac:dyDescent="0.2">
      <c r="A105">
        <v>1034</v>
      </c>
      <c r="B105">
        <v>12408</v>
      </c>
      <c r="C105">
        <v>0</v>
      </c>
      <c r="D105">
        <v>-1</v>
      </c>
      <c r="F105" t="s">
        <v>301</v>
      </c>
    </row>
    <row r="106" spans="1:6" x14ac:dyDescent="0.2">
      <c r="A106">
        <v>45599</v>
      </c>
      <c r="B106">
        <v>38830</v>
      </c>
      <c r="C106">
        <v>-95</v>
      </c>
      <c r="D106">
        <v>5.21</v>
      </c>
      <c r="E106" t="s">
        <v>44</v>
      </c>
      <c r="F106" t="s">
        <v>301</v>
      </c>
    </row>
    <row r="107" spans="1:6" x14ac:dyDescent="0.2">
      <c r="A107">
        <v>45599</v>
      </c>
      <c r="B107">
        <v>38830</v>
      </c>
      <c r="C107">
        <v>-92</v>
      </c>
      <c r="D107">
        <v>5.0999999999999996</v>
      </c>
      <c r="E107" t="s">
        <v>44</v>
      </c>
      <c r="F107" t="s">
        <v>302</v>
      </c>
    </row>
    <row r="108" spans="1:6" x14ac:dyDescent="0.2">
      <c r="A108">
        <v>1034</v>
      </c>
      <c r="B108">
        <v>12408</v>
      </c>
      <c r="C108">
        <v>-95</v>
      </c>
      <c r="D108">
        <v>11.62</v>
      </c>
      <c r="E108" t="s">
        <v>44</v>
      </c>
      <c r="F108" t="s">
        <v>302</v>
      </c>
    </row>
    <row r="109" spans="1:6" x14ac:dyDescent="0.2">
      <c r="A109">
        <v>45599</v>
      </c>
      <c r="B109">
        <v>38830</v>
      </c>
      <c r="C109">
        <v>-93</v>
      </c>
      <c r="D109">
        <v>5.0599999999999996</v>
      </c>
      <c r="E109" t="s">
        <v>44</v>
      </c>
      <c r="F109" t="s">
        <v>303</v>
      </c>
    </row>
    <row r="110" spans="1:6" x14ac:dyDescent="0.2">
      <c r="A110">
        <v>1034</v>
      </c>
      <c r="B110">
        <v>12408</v>
      </c>
      <c r="C110">
        <v>-95</v>
      </c>
      <c r="D110">
        <v>11.61</v>
      </c>
      <c r="E110" t="s">
        <v>44</v>
      </c>
      <c r="F110" t="s">
        <v>303</v>
      </c>
    </row>
    <row r="111" spans="1:6" x14ac:dyDescent="0.2">
      <c r="A111">
        <v>45599</v>
      </c>
      <c r="B111">
        <v>38830</v>
      </c>
      <c r="C111">
        <v>-95</v>
      </c>
      <c r="D111">
        <v>5.12</v>
      </c>
      <c r="E111" t="s">
        <v>44</v>
      </c>
      <c r="F111" t="s">
        <v>304</v>
      </c>
    </row>
    <row r="112" spans="1:6" x14ac:dyDescent="0.2">
      <c r="A112">
        <v>1034</v>
      </c>
      <c r="B112">
        <v>12408</v>
      </c>
      <c r="C112">
        <v>-95</v>
      </c>
      <c r="D112">
        <v>11.59</v>
      </c>
      <c r="E112" t="s">
        <v>44</v>
      </c>
      <c r="F112" t="s">
        <v>304</v>
      </c>
    </row>
    <row r="113" spans="1:6" x14ac:dyDescent="0.2">
      <c r="A113">
        <v>45599</v>
      </c>
      <c r="B113">
        <v>38830</v>
      </c>
      <c r="C113">
        <v>0</v>
      </c>
      <c r="D113">
        <v>-1</v>
      </c>
      <c r="F113" t="s">
        <v>305</v>
      </c>
    </row>
    <row r="114" spans="1:6" x14ac:dyDescent="0.2">
      <c r="A114">
        <v>1034</v>
      </c>
      <c r="B114">
        <v>12408</v>
      </c>
      <c r="C114">
        <v>-96</v>
      </c>
      <c r="D114">
        <v>11.67</v>
      </c>
      <c r="E114" t="s">
        <v>44</v>
      </c>
      <c r="F114" t="s">
        <v>305</v>
      </c>
    </row>
    <row r="115" spans="1:6" x14ac:dyDescent="0.2">
      <c r="A115">
        <v>1034</v>
      </c>
      <c r="B115">
        <v>12408</v>
      </c>
      <c r="C115">
        <v>0</v>
      </c>
      <c r="D115">
        <v>-1</v>
      </c>
      <c r="F115" t="s">
        <v>306</v>
      </c>
    </row>
    <row r="116" spans="1:6" x14ac:dyDescent="0.2">
      <c r="A116">
        <v>45599</v>
      </c>
      <c r="B116">
        <v>38830</v>
      </c>
      <c r="C116">
        <v>-95</v>
      </c>
      <c r="D116">
        <v>5.17</v>
      </c>
      <c r="E116" t="s">
        <v>44</v>
      </c>
      <c r="F116" t="s">
        <v>306</v>
      </c>
    </row>
    <row r="117" spans="1:6" x14ac:dyDescent="0.2">
      <c r="A117">
        <v>45599</v>
      </c>
      <c r="B117">
        <v>38830</v>
      </c>
      <c r="C117">
        <v>-95</v>
      </c>
      <c r="D117">
        <v>5.23</v>
      </c>
      <c r="E117" t="s">
        <v>44</v>
      </c>
      <c r="F117" t="s">
        <v>307</v>
      </c>
    </row>
    <row r="118" spans="1:6" x14ac:dyDescent="0.2">
      <c r="A118">
        <v>1034</v>
      </c>
      <c r="B118">
        <v>12408</v>
      </c>
      <c r="C118">
        <v>-95</v>
      </c>
      <c r="D118">
        <v>11.65</v>
      </c>
      <c r="E118" t="s">
        <v>44</v>
      </c>
      <c r="F118" t="s">
        <v>307</v>
      </c>
    </row>
    <row r="119" spans="1:6" x14ac:dyDescent="0.2">
      <c r="A119">
        <v>1034</v>
      </c>
      <c r="B119">
        <v>12408</v>
      </c>
      <c r="C119">
        <v>0</v>
      </c>
      <c r="D119">
        <v>-1</v>
      </c>
      <c r="F119" t="s">
        <v>308</v>
      </c>
    </row>
    <row r="120" spans="1:6" x14ac:dyDescent="0.2">
      <c r="A120">
        <v>45599</v>
      </c>
      <c r="B120">
        <v>38830</v>
      </c>
      <c r="C120">
        <v>-94</v>
      </c>
      <c r="D120">
        <v>5.23</v>
      </c>
      <c r="E120" t="s">
        <v>44</v>
      </c>
      <c r="F120" t="s">
        <v>308</v>
      </c>
    </row>
  </sheetData>
  <autoFilter ref="A1:F1" xr:uid="{00000000-0009-0000-0000-000007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I21"/>
  <sheetViews>
    <sheetView workbookViewId="0">
      <selection activeCell="H20" sqref="H20"/>
    </sheetView>
  </sheetViews>
  <sheetFormatPr baseColWidth="10" defaultRowHeight="16" x14ac:dyDescent="0.2"/>
  <cols>
    <col min="1" max="1" width="8.6640625" bestFit="1" customWidth="1"/>
    <col min="2" max="2" width="14.1640625" bestFit="1" customWidth="1"/>
    <col min="3" max="3" width="12.83203125" bestFit="1" customWidth="1"/>
    <col min="4" max="4" width="15.33203125" bestFit="1" customWidth="1"/>
    <col min="6" max="6" width="8.6640625" bestFit="1" customWidth="1"/>
    <col min="7" max="7" width="14.1640625" bestFit="1" customWidth="1"/>
    <col min="8" max="8" width="11.1640625" bestFit="1" customWidth="1"/>
    <col min="9" max="9" width="15.33203125" bestFit="1" customWidth="1"/>
  </cols>
  <sheetData>
    <row r="1" spans="1:9" x14ac:dyDescent="0.2">
      <c r="A1" s="20" t="s">
        <v>313</v>
      </c>
      <c r="B1" s="20"/>
      <c r="F1" s="20" t="s">
        <v>314</v>
      </c>
      <c r="G1" s="20"/>
    </row>
    <row r="2" spans="1:9" ht="17" thickBot="1" x14ac:dyDescent="0.25"/>
    <row r="3" spans="1:9" x14ac:dyDescent="0.2">
      <c r="A3" s="8" t="s">
        <v>309</v>
      </c>
      <c r="B3" s="9" t="s">
        <v>310</v>
      </c>
      <c r="C3" s="9" t="s">
        <v>311</v>
      </c>
      <c r="D3" s="10" t="s">
        <v>315</v>
      </c>
      <c r="F3" s="8" t="s">
        <v>309</v>
      </c>
      <c r="G3" s="9" t="s">
        <v>310</v>
      </c>
      <c r="H3" s="9" t="s">
        <v>311</v>
      </c>
      <c r="I3" s="10" t="s">
        <v>315</v>
      </c>
    </row>
    <row r="4" spans="1:9" x14ac:dyDescent="0.2">
      <c r="A4" s="14">
        <v>10004</v>
      </c>
      <c r="B4" s="3">
        <v>60</v>
      </c>
      <c r="C4" s="3">
        <v>-37.5</v>
      </c>
      <c r="D4" s="4">
        <v>-0.13</v>
      </c>
      <c r="F4" s="14">
        <v>3873</v>
      </c>
      <c r="G4" s="3">
        <v>60</v>
      </c>
      <c r="H4" s="3">
        <v>-60</v>
      </c>
      <c r="I4" s="7">
        <v>-7.0000000000000007E-2</v>
      </c>
    </row>
    <row r="5" spans="1:9" x14ac:dyDescent="0.2">
      <c r="A5" s="13">
        <v>10005</v>
      </c>
      <c r="B5" s="3">
        <v>59</v>
      </c>
      <c r="C5" s="3">
        <v>-67.7</v>
      </c>
      <c r="D5" s="4">
        <v>0.24</v>
      </c>
      <c r="F5" s="12">
        <v>31536</v>
      </c>
      <c r="G5" s="3">
        <v>59</v>
      </c>
      <c r="H5" s="3">
        <v>-87.1</v>
      </c>
      <c r="I5" s="7">
        <v>0.9</v>
      </c>
    </row>
    <row r="6" spans="1:9" x14ac:dyDescent="0.2">
      <c r="A6" s="12">
        <v>10006</v>
      </c>
      <c r="B6" s="3">
        <v>59</v>
      </c>
      <c r="C6" s="3">
        <v>-67.599999999999994</v>
      </c>
      <c r="D6" s="4">
        <v>0.14000000000000001</v>
      </c>
      <c r="F6" s="13">
        <v>17519</v>
      </c>
      <c r="G6" s="3">
        <v>0</v>
      </c>
      <c r="H6" s="3">
        <v>0</v>
      </c>
      <c r="I6" s="4">
        <v>0</v>
      </c>
    </row>
    <row r="7" spans="1:9" ht="17" thickBot="1" x14ac:dyDescent="0.25">
      <c r="A7" s="11" t="s">
        <v>312</v>
      </c>
      <c r="B7" s="5">
        <v>24</v>
      </c>
      <c r="C7" s="5"/>
      <c r="D7" s="6"/>
      <c r="F7" s="11" t="s">
        <v>312</v>
      </c>
      <c r="G7" s="5">
        <v>23</v>
      </c>
      <c r="H7" s="5"/>
      <c r="I7" s="6"/>
    </row>
    <row r="8" spans="1:9" ht="17" thickBot="1" x14ac:dyDescent="0.25"/>
    <row r="9" spans="1:9" x14ac:dyDescent="0.2">
      <c r="A9" s="8" t="s">
        <v>309</v>
      </c>
      <c r="B9" s="9" t="s">
        <v>310</v>
      </c>
      <c r="C9" s="9" t="s">
        <v>311</v>
      </c>
      <c r="D9" s="10" t="s">
        <v>315</v>
      </c>
      <c r="F9" s="8" t="s">
        <v>309</v>
      </c>
      <c r="G9" s="9" t="s">
        <v>310</v>
      </c>
      <c r="H9" s="9" t="s">
        <v>311</v>
      </c>
      <c r="I9" s="10" t="s">
        <v>315</v>
      </c>
    </row>
    <row r="10" spans="1:9" x14ac:dyDescent="0.2">
      <c r="A10" s="12">
        <v>10004</v>
      </c>
      <c r="B10" s="3">
        <v>59</v>
      </c>
      <c r="C10" s="3">
        <v>-60.3</v>
      </c>
      <c r="D10" s="4">
        <v>0.42</v>
      </c>
      <c r="F10" s="12">
        <v>3873</v>
      </c>
      <c r="G10" s="3">
        <v>51</v>
      </c>
      <c r="H10" s="3">
        <v>-36.6</v>
      </c>
      <c r="I10" s="7">
        <v>-0.08</v>
      </c>
    </row>
    <row r="11" spans="1:9" x14ac:dyDescent="0.2">
      <c r="A11" s="12">
        <v>10005</v>
      </c>
      <c r="B11" s="3">
        <v>60</v>
      </c>
      <c r="C11" s="3">
        <v>-62.3</v>
      </c>
      <c r="D11" s="4">
        <v>0.16</v>
      </c>
      <c r="F11" s="14">
        <v>31536</v>
      </c>
      <c r="G11" s="3">
        <v>60</v>
      </c>
      <c r="H11" s="3">
        <v>-61.7</v>
      </c>
      <c r="I11" s="7">
        <v>0.01</v>
      </c>
    </row>
    <row r="12" spans="1:9" x14ac:dyDescent="0.2">
      <c r="A12" s="14">
        <v>10006</v>
      </c>
      <c r="B12" s="3">
        <v>59</v>
      </c>
      <c r="C12" s="3">
        <v>-37.200000000000003</v>
      </c>
      <c r="D12" s="4">
        <v>-0.14000000000000001</v>
      </c>
      <c r="F12" s="12">
        <v>17519</v>
      </c>
      <c r="G12" s="3">
        <v>0</v>
      </c>
      <c r="H12" s="3">
        <v>0</v>
      </c>
      <c r="I12" s="4">
        <v>0</v>
      </c>
    </row>
    <row r="13" spans="1:9" ht="17" thickBot="1" x14ac:dyDescent="0.25">
      <c r="A13" s="11" t="s">
        <v>312</v>
      </c>
      <c r="B13" s="5">
        <v>39</v>
      </c>
      <c r="C13" s="5"/>
      <c r="D13" s="6"/>
      <c r="F13" s="11" t="s">
        <v>312</v>
      </c>
      <c r="G13" s="5">
        <v>83</v>
      </c>
      <c r="H13" s="5"/>
      <c r="I13" s="6"/>
    </row>
    <row r="14" spans="1:9" ht="17" thickBot="1" x14ac:dyDescent="0.25"/>
    <row r="15" spans="1:9" x14ac:dyDescent="0.2">
      <c r="A15" s="8" t="s">
        <v>309</v>
      </c>
      <c r="B15" s="9" t="s">
        <v>310</v>
      </c>
      <c r="C15" s="9" t="s">
        <v>311</v>
      </c>
      <c r="D15" s="10" t="s">
        <v>315</v>
      </c>
      <c r="F15" s="8" t="s">
        <v>309</v>
      </c>
      <c r="G15" s="9" t="s">
        <v>310</v>
      </c>
      <c r="H15" s="9" t="s">
        <v>311</v>
      </c>
      <c r="I15" s="10" t="s">
        <v>315</v>
      </c>
    </row>
    <row r="16" spans="1:9" x14ac:dyDescent="0.2">
      <c r="A16" s="13">
        <v>10004</v>
      </c>
      <c r="B16" s="3">
        <v>49</v>
      </c>
      <c r="C16" s="3">
        <v>-43.4</v>
      </c>
      <c r="D16" s="4">
        <v>0.6</v>
      </c>
      <c r="F16" s="18">
        <v>3873</v>
      </c>
      <c r="G16" s="3">
        <v>0</v>
      </c>
      <c r="H16" s="3">
        <v>0</v>
      </c>
      <c r="I16" s="4">
        <v>0</v>
      </c>
    </row>
    <row r="17" spans="1:9" x14ac:dyDescent="0.2">
      <c r="A17" s="14">
        <v>10005</v>
      </c>
      <c r="B17" s="3">
        <v>60</v>
      </c>
      <c r="C17" s="3">
        <v>-38.200000000000003</v>
      </c>
      <c r="D17" s="4">
        <v>-0.13</v>
      </c>
      <c r="F17" s="12">
        <v>31536</v>
      </c>
      <c r="G17" s="3">
        <v>0</v>
      </c>
      <c r="H17" s="3">
        <v>0</v>
      </c>
      <c r="I17" s="4">
        <v>0</v>
      </c>
    </row>
    <row r="18" spans="1:9" x14ac:dyDescent="0.2">
      <c r="A18" s="12">
        <v>10006</v>
      </c>
      <c r="B18" s="3">
        <v>59</v>
      </c>
      <c r="C18" s="3">
        <v>-57.7</v>
      </c>
      <c r="D18" s="4">
        <v>0.42</v>
      </c>
      <c r="F18" s="14">
        <v>17519</v>
      </c>
      <c r="G18" s="3">
        <v>0</v>
      </c>
      <c r="H18" s="3">
        <v>0</v>
      </c>
      <c r="I18" s="4">
        <v>0</v>
      </c>
    </row>
    <row r="19" spans="1:9" ht="17" thickBot="1" x14ac:dyDescent="0.25">
      <c r="A19" s="11" t="s">
        <v>312</v>
      </c>
      <c r="B19" s="5">
        <v>64</v>
      </c>
      <c r="C19" s="5"/>
      <c r="D19" s="6"/>
      <c r="F19" s="11" t="s">
        <v>312</v>
      </c>
      <c r="G19" s="5">
        <v>24</v>
      </c>
      <c r="H19" s="5"/>
      <c r="I19" s="6"/>
    </row>
    <row r="20" spans="1:9" ht="17" thickBot="1" x14ac:dyDescent="0.25"/>
    <row r="21" spans="1:9" ht="17" thickBot="1" x14ac:dyDescent="0.25">
      <c r="A21" s="15" t="s">
        <v>316</v>
      </c>
      <c r="B21" s="16">
        <v>10004</v>
      </c>
      <c r="C21" s="16">
        <v>10006</v>
      </c>
      <c r="D21" s="17">
        <v>10005</v>
      </c>
      <c r="F21" s="15" t="s">
        <v>316</v>
      </c>
      <c r="G21" s="16">
        <v>3873</v>
      </c>
      <c r="H21" s="16">
        <v>31536</v>
      </c>
      <c r="I21" s="17">
        <v>17519</v>
      </c>
    </row>
  </sheetData>
  <mergeCells count="2">
    <mergeCell ref="A1:B1"/>
    <mergeCell ref="F1:G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R64"/>
  <sheetViews>
    <sheetView topLeftCell="C1" workbookViewId="0">
      <selection activeCell="N64" sqref="N64:R64"/>
    </sheetView>
  </sheetViews>
  <sheetFormatPr baseColWidth="10" defaultRowHeight="16" x14ac:dyDescent="0.2"/>
  <cols>
    <col min="1" max="1" width="12.33203125" bestFit="1" customWidth="1"/>
    <col min="2" max="3" width="11.6640625" bestFit="1" customWidth="1"/>
    <col min="5" max="5" width="11.6640625" bestFit="1" customWidth="1"/>
    <col min="6" max="6" width="12.33203125" bestFit="1" customWidth="1"/>
    <col min="7" max="7" width="11.6640625" bestFit="1" customWidth="1"/>
    <col min="9" max="10" width="11.6640625" bestFit="1" customWidth="1"/>
    <col min="11" max="11" width="12.33203125" bestFit="1" customWidth="1"/>
  </cols>
  <sheetData>
    <row r="1" spans="1:18" x14ac:dyDescent="0.2">
      <c r="A1">
        <v>10004</v>
      </c>
      <c r="B1">
        <v>10005</v>
      </c>
      <c r="C1">
        <v>10006</v>
      </c>
      <c r="E1">
        <v>10004</v>
      </c>
      <c r="F1">
        <v>10005</v>
      </c>
      <c r="G1">
        <v>10006</v>
      </c>
      <c r="I1">
        <v>10004</v>
      </c>
      <c r="J1">
        <v>10005</v>
      </c>
      <c r="K1">
        <v>10006</v>
      </c>
      <c r="N1">
        <v>3873</v>
      </c>
      <c r="O1">
        <v>31536</v>
      </c>
      <c r="Q1">
        <v>3873</v>
      </c>
      <c r="R1">
        <v>31536</v>
      </c>
    </row>
    <row r="2" spans="1:18" x14ac:dyDescent="0.2">
      <c r="A2" s="1" t="s">
        <v>3</v>
      </c>
      <c r="B2" t="s">
        <v>3</v>
      </c>
      <c r="C2" t="s">
        <v>3</v>
      </c>
      <c r="E2" t="s">
        <v>3</v>
      </c>
      <c r="F2" t="s">
        <v>3</v>
      </c>
      <c r="G2" t="s">
        <v>3</v>
      </c>
      <c r="I2" t="s">
        <v>3</v>
      </c>
      <c r="J2" t="s">
        <v>3</v>
      </c>
      <c r="K2" t="s">
        <v>3</v>
      </c>
      <c r="N2" t="s">
        <v>3</v>
      </c>
      <c r="O2" t="s">
        <v>3</v>
      </c>
      <c r="Q2" t="s">
        <v>3</v>
      </c>
      <c r="R2" t="s">
        <v>3</v>
      </c>
    </row>
    <row r="3" spans="1:18" x14ac:dyDescent="0.2">
      <c r="A3" s="1">
        <v>0</v>
      </c>
      <c r="B3">
        <v>1.1399999999999999</v>
      </c>
      <c r="C3">
        <v>0.36</v>
      </c>
      <c r="E3">
        <v>1.67</v>
      </c>
      <c r="F3">
        <v>0</v>
      </c>
      <c r="G3">
        <v>1.1399999999999999</v>
      </c>
      <c r="I3">
        <v>2.78</v>
      </c>
      <c r="J3">
        <v>0.6</v>
      </c>
      <c r="K3">
        <v>0</v>
      </c>
      <c r="N3">
        <v>7.0000000000000007E-2</v>
      </c>
      <c r="O3">
        <v>0.88</v>
      </c>
      <c r="Q3">
        <v>1.1399999999999999</v>
      </c>
      <c r="R3">
        <v>0.02</v>
      </c>
    </row>
    <row r="4" spans="1:18" x14ac:dyDescent="0.2">
      <c r="A4" s="1">
        <v>0</v>
      </c>
      <c r="B4">
        <v>0.44</v>
      </c>
      <c r="C4">
        <v>0.22</v>
      </c>
      <c r="E4">
        <v>-1</v>
      </c>
      <c r="F4">
        <v>0</v>
      </c>
      <c r="G4">
        <v>0.71</v>
      </c>
      <c r="I4">
        <v>1.64</v>
      </c>
      <c r="J4">
        <v>0.47</v>
      </c>
      <c r="K4">
        <v>0</v>
      </c>
      <c r="N4">
        <v>-1</v>
      </c>
      <c r="O4">
        <v>-1</v>
      </c>
      <c r="Q4">
        <v>-1</v>
      </c>
      <c r="R4">
        <v>0.02</v>
      </c>
    </row>
    <row r="5" spans="1:18" x14ac:dyDescent="0.2">
      <c r="A5" s="1">
        <v>0</v>
      </c>
      <c r="B5">
        <v>0.42</v>
      </c>
      <c r="C5">
        <v>0.22</v>
      </c>
      <c r="E5">
        <v>-1</v>
      </c>
      <c r="F5">
        <v>0</v>
      </c>
      <c r="G5">
        <v>0.98</v>
      </c>
      <c r="I5">
        <v>0.75</v>
      </c>
      <c r="J5">
        <v>0.47</v>
      </c>
      <c r="K5">
        <v>0</v>
      </c>
      <c r="N5">
        <v>0.06</v>
      </c>
      <c r="O5">
        <v>0.99</v>
      </c>
      <c r="Q5">
        <v>-1</v>
      </c>
      <c r="R5">
        <v>-1</v>
      </c>
    </row>
    <row r="6" spans="1:18" x14ac:dyDescent="0.2">
      <c r="A6" s="1">
        <v>0</v>
      </c>
      <c r="B6">
        <v>0.39</v>
      </c>
      <c r="C6">
        <v>0.27</v>
      </c>
      <c r="E6">
        <v>-1</v>
      </c>
      <c r="F6">
        <v>0.01</v>
      </c>
      <c r="G6">
        <v>0.83</v>
      </c>
      <c r="I6">
        <v>0.6</v>
      </c>
      <c r="J6">
        <v>0.7</v>
      </c>
      <c r="K6">
        <v>0</v>
      </c>
      <c r="N6">
        <v>-1</v>
      </c>
      <c r="O6">
        <v>1</v>
      </c>
      <c r="Q6">
        <v>-1</v>
      </c>
      <c r="R6">
        <v>0.03</v>
      </c>
    </row>
    <row r="7" spans="1:18" x14ac:dyDescent="0.2">
      <c r="A7" s="1">
        <v>-1</v>
      </c>
      <c r="B7">
        <v>0.37</v>
      </c>
      <c r="C7">
        <v>0.25</v>
      </c>
      <c r="E7">
        <v>-1</v>
      </c>
      <c r="F7">
        <v>0.01</v>
      </c>
      <c r="G7">
        <v>-1</v>
      </c>
      <c r="I7">
        <v>0.53</v>
      </c>
      <c r="J7">
        <v>0.76</v>
      </c>
      <c r="K7">
        <v>0</v>
      </c>
      <c r="N7">
        <v>-1</v>
      </c>
      <c r="O7">
        <v>1</v>
      </c>
      <c r="Q7">
        <v>-1</v>
      </c>
      <c r="R7">
        <v>0.03</v>
      </c>
    </row>
    <row r="8" spans="1:18" x14ac:dyDescent="0.2">
      <c r="A8" s="1">
        <v>0</v>
      </c>
      <c r="B8">
        <v>0.46</v>
      </c>
      <c r="C8">
        <v>-1</v>
      </c>
      <c r="E8">
        <v>-1</v>
      </c>
      <c r="F8">
        <v>0.01</v>
      </c>
      <c r="G8">
        <v>-1</v>
      </c>
      <c r="I8">
        <v>0.5</v>
      </c>
      <c r="J8">
        <v>0.77</v>
      </c>
      <c r="K8">
        <v>0</v>
      </c>
      <c r="N8">
        <v>-1</v>
      </c>
      <c r="O8">
        <v>1.04</v>
      </c>
      <c r="Q8">
        <v>-1</v>
      </c>
      <c r="R8">
        <v>0.03</v>
      </c>
    </row>
    <row r="9" spans="1:18" x14ac:dyDescent="0.2">
      <c r="A9" s="1">
        <v>0</v>
      </c>
      <c r="B9">
        <v>-1</v>
      </c>
      <c r="C9">
        <v>0.23</v>
      </c>
      <c r="E9">
        <v>-1</v>
      </c>
      <c r="F9">
        <v>0</v>
      </c>
      <c r="G9">
        <v>-1</v>
      </c>
      <c r="I9">
        <v>-1</v>
      </c>
      <c r="J9">
        <v>0.8</v>
      </c>
      <c r="K9">
        <v>0</v>
      </c>
      <c r="N9">
        <v>0.06</v>
      </c>
      <c r="O9">
        <v>1.03</v>
      </c>
      <c r="Q9">
        <v>-1</v>
      </c>
      <c r="R9">
        <v>0.02</v>
      </c>
    </row>
    <row r="10" spans="1:18" x14ac:dyDescent="0.2">
      <c r="A10" s="1">
        <v>-1</v>
      </c>
      <c r="B10">
        <v>0.46</v>
      </c>
      <c r="C10">
        <v>-1</v>
      </c>
      <c r="E10">
        <v>-1</v>
      </c>
      <c r="F10">
        <v>-1</v>
      </c>
      <c r="G10">
        <v>-1</v>
      </c>
      <c r="I10">
        <v>0.51</v>
      </c>
      <c r="J10">
        <v>0.82</v>
      </c>
      <c r="K10">
        <v>-1</v>
      </c>
      <c r="N10">
        <v>-1</v>
      </c>
      <c r="O10">
        <v>1.05</v>
      </c>
      <c r="Q10">
        <v>-1</v>
      </c>
      <c r="R10">
        <v>0.02</v>
      </c>
    </row>
    <row r="11" spans="1:18" x14ac:dyDescent="0.2">
      <c r="A11" s="1">
        <v>0</v>
      </c>
      <c r="B11">
        <v>0.42</v>
      </c>
      <c r="C11">
        <v>0.22</v>
      </c>
      <c r="E11">
        <v>-1</v>
      </c>
      <c r="F11">
        <v>0</v>
      </c>
      <c r="G11">
        <v>-1</v>
      </c>
      <c r="I11">
        <v>0.65</v>
      </c>
      <c r="J11">
        <v>0.83</v>
      </c>
      <c r="K11">
        <v>0</v>
      </c>
      <c r="N11">
        <v>7.0000000000000007E-2</v>
      </c>
      <c r="O11">
        <v>1.07</v>
      </c>
      <c r="Q11">
        <v>-1</v>
      </c>
      <c r="R11">
        <v>0.02</v>
      </c>
    </row>
    <row r="12" spans="1:18" x14ac:dyDescent="0.2">
      <c r="A12" s="1">
        <v>0</v>
      </c>
      <c r="B12">
        <v>0.46</v>
      </c>
      <c r="C12">
        <v>0.27</v>
      </c>
      <c r="E12">
        <v>-1</v>
      </c>
      <c r="F12">
        <v>0</v>
      </c>
      <c r="G12">
        <v>0.96</v>
      </c>
      <c r="I12">
        <v>-1</v>
      </c>
      <c r="J12">
        <v>-1</v>
      </c>
      <c r="K12">
        <v>0</v>
      </c>
      <c r="N12">
        <v>-1</v>
      </c>
      <c r="O12">
        <v>1.08</v>
      </c>
      <c r="Q12">
        <v>-1</v>
      </c>
      <c r="R12">
        <v>0.03</v>
      </c>
    </row>
    <row r="13" spans="1:18" x14ac:dyDescent="0.2">
      <c r="A13" s="1">
        <v>0</v>
      </c>
      <c r="B13">
        <v>-1</v>
      </c>
      <c r="C13">
        <v>0.32</v>
      </c>
      <c r="E13">
        <v>1.9</v>
      </c>
      <c r="F13">
        <v>0</v>
      </c>
      <c r="G13">
        <v>1.1100000000000001</v>
      </c>
      <c r="I13">
        <v>0.76</v>
      </c>
      <c r="J13">
        <v>0.82</v>
      </c>
      <c r="K13">
        <v>-1</v>
      </c>
      <c r="N13">
        <v>7.0000000000000007E-2</v>
      </c>
      <c r="O13">
        <v>1.07</v>
      </c>
      <c r="Q13">
        <v>1.29</v>
      </c>
      <c r="R13">
        <v>0.03</v>
      </c>
    </row>
    <row r="14" spans="1:18" x14ac:dyDescent="0.2">
      <c r="A14" s="1">
        <v>0</v>
      </c>
      <c r="B14">
        <v>0.49</v>
      </c>
      <c r="C14">
        <v>0.34</v>
      </c>
      <c r="E14">
        <v>1.9</v>
      </c>
      <c r="F14">
        <v>0</v>
      </c>
      <c r="G14">
        <v>1.1599999999999999</v>
      </c>
      <c r="I14">
        <v>0.65</v>
      </c>
      <c r="J14">
        <v>0.7</v>
      </c>
      <c r="K14">
        <v>0</v>
      </c>
      <c r="N14">
        <v>-1</v>
      </c>
      <c r="O14">
        <v>1.06</v>
      </c>
      <c r="Q14">
        <v>-1</v>
      </c>
      <c r="R14">
        <v>0.03</v>
      </c>
    </row>
    <row r="15" spans="1:18" x14ac:dyDescent="0.2">
      <c r="A15" s="1">
        <v>0</v>
      </c>
      <c r="B15">
        <v>0.46</v>
      </c>
      <c r="C15">
        <v>0.35</v>
      </c>
      <c r="E15">
        <v>-1</v>
      </c>
      <c r="F15">
        <v>0</v>
      </c>
      <c r="G15">
        <v>1.19</v>
      </c>
      <c r="I15">
        <v>0.73</v>
      </c>
      <c r="J15">
        <v>-1</v>
      </c>
      <c r="K15">
        <v>0</v>
      </c>
      <c r="N15">
        <v>0.06</v>
      </c>
      <c r="O15">
        <v>1.07</v>
      </c>
      <c r="Q15">
        <v>-1</v>
      </c>
      <c r="R15">
        <v>0.03</v>
      </c>
    </row>
    <row r="16" spans="1:18" x14ac:dyDescent="0.2">
      <c r="A16" s="1">
        <v>0</v>
      </c>
      <c r="B16">
        <v>0.45</v>
      </c>
      <c r="C16">
        <v>-1</v>
      </c>
      <c r="E16">
        <v>-1</v>
      </c>
      <c r="F16">
        <v>0</v>
      </c>
      <c r="G16">
        <v>-1</v>
      </c>
      <c r="I16">
        <v>0.68</v>
      </c>
      <c r="J16">
        <v>0.64</v>
      </c>
      <c r="K16">
        <v>-1</v>
      </c>
      <c r="N16">
        <v>0.06</v>
      </c>
      <c r="O16">
        <v>1.08</v>
      </c>
      <c r="Q16">
        <v>-1</v>
      </c>
      <c r="R16">
        <v>0.03</v>
      </c>
    </row>
    <row r="17" spans="1:18" x14ac:dyDescent="0.2">
      <c r="A17" s="1">
        <v>0</v>
      </c>
      <c r="B17">
        <v>0.43</v>
      </c>
      <c r="C17">
        <v>0.35</v>
      </c>
      <c r="E17">
        <v>1.78</v>
      </c>
      <c r="F17">
        <v>0.01</v>
      </c>
      <c r="G17">
        <v>1.27</v>
      </c>
      <c r="I17">
        <v>0.65</v>
      </c>
      <c r="J17">
        <v>-1</v>
      </c>
      <c r="K17">
        <v>0</v>
      </c>
      <c r="N17">
        <v>0.06</v>
      </c>
      <c r="O17">
        <v>1.07</v>
      </c>
      <c r="Q17">
        <v>-1</v>
      </c>
      <c r="R17">
        <v>0.03</v>
      </c>
    </row>
    <row r="18" spans="1:18" x14ac:dyDescent="0.2">
      <c r="A18" s="1">
        <v>0</v>
      </c>
      <c r="B18">
        <v>0.41</v>
      </c>
      <c r="C18">
        <v>0.37</v>
      </c>
      <c r="E18">
        <v>1.72</v>
      </c>
      <c r="F18">
        <v>0</v>
      </c>
      <c r="G18">
        <v>1.28</v>
      </c>
      <c r="I18">
        <v>0.65</v>
      </c>
      <c r="J18">
        <v>-1</v>
      </c>
      <c r="K18">
        <v>0</v>
      </c>
      <c r="N18">
        <v>0.06</v>
      </c>
      <c r="O18">
        <v>1.02</v>
      </c>
      <c r="Q18">
        <v>-1</v>
      </c>
      <c r="R18">
        <v>0.02</v>
      </c>
    </row>
    <row r="19" spans="1:18" x14ac:dyDescent="0.2">
      <c r="A19" s="1">
        <v>0</v>
      </c>
      <c r="B19">
        <v>-1</v>
      </c>
      <c r="C19">
        <v>0.34</v>
      </c>
      <c r="E19">
        <v>-1</v>
      </c>
      <c r="F19">
        <v>-1</v>
      </c>
      <c r="G19">
        <v>1.25</v>
      </c>
      <c r="I19">
        <v>0.66</v>
      </c>
      <c r="J19">
        <v>0.63</v>
      </c>
      <c r="K19">
        <v>0</v>
      </c>
      <c r="N19">
        <v>0.05</v>
      </c>
      <c r="O19">
        <v>1</v>
      </c>
      <c r="Q19">
        <v>1.45</v>
      </c>
      <c r="R19">
        <v>0.03</v>
      </c>
    </row>
    <row r="20" spans="1:18" x14ac:dyDescent="0.2">
      <c r="A20" s="1">
        <v>0</v>
      </c>
      <c r="B20">
        <v>0.4</v>
      </c>
      <c r="C20">
        <v>0.31</v>
      </c>
      <c r="E20">
        <v>-1</v>
      </c>
      <c r="F20">
        <v>0.01</v>
      </c>
      <c r="G20">
        <v>-1</v>
      </c>
      <c r="I20">
        <v>0.74</v>
      </c>
      <c r="J20">
        <v>0.53</v>
      </c>
      <c r="K20">
        <v>0</v>
      </c>
      <c r="N20">
        <v>0.05</v>
      </c>
      <c r="O20">
        <v>0.96</v>
      </c>
      <c r="Q20">
        <v>-1</v>
      </c>
      <c r="R20">
        <v>0.03</v>
      </c>
    </row>
    <row r="21" spans="1:18" x14ac:dyDescent="0.2">
      <c r="A21" s="1">
        <v>0</v>
      </c>
      <c r="B21">
        <v>0.39</v>
      </c>
      <c r="C21">
        <v>0.28999999999999998</v>
      </c>
      <c r="E21">
        <v>-1</v>
      </c>
      <c r="F21">
        <v>0.01</v>
      </c>
      <c r="G21">
        <v>1.17</v>
      </c>
      <c r="I21">
        <v>-1</v>
      </c>
      <c r="J21">
        <v>0.49</v>
      </c>
      <c r="K21">
        <v>0</v>
      </c>
      <c r="N21">
        <v>0.05</v>
      </c>
      <c r="O21">
        <v>0.93</v>
      </c>
      <c r="Q21">
        <v>-1</v>
      </c>
      <c r="R21">
        <v>0.03</v>
      </c>
    </row>
    <row r="22" spans="1:18" x14ac:dyDescent="0.2">
      <c r="A22" s="1">
        <v>0</v>
      </c>
      <c r="B22">
        <v>0.38</v>
      </c>
      <c r="C22">
        <v>0.28000000000000003</v>
      </c>
      <c r="E22">
        <v>-1</v>
      </c>
      <c r="F22">
        <v>0</v>
      </c>
      <c r="G22">
        <v>1.1000000000000001</v>
      </c>
      <c r="I22">
        <v>-1</v>
      </c>
      <c r="J22">
        <v>0.45</v>
      </c>
      <c r="K22">
        <v>0</v>
      </c>
      <c r="N22">
        <v>0.05</v>
      </c>
      <c r="O22">
        <v>0.92</v>
      </c>
      <c r="Q22">
        <v>-1</v>
      </c>
      <c r="R22">
        <v>0.03</v>
      </c>
    </row>
    <row r="23" spans="1:18" x14ac:dyDescent="0.2">
      <c r="A23" s="1">
        <v>0</v>
      </c>
      <c r="B23">
        <v>0.38</v>
      </c>
      <c r="C23">
        <v>0.27</v>
      </c>
      <c r="E23">
        <v>-1</v>
      </c>
      <c r="F23">
        <v>0</v>
      </c>
      <c r="G23">
        <v>1.1299999999999999</v>
      </c>
      <c r="I23">
        <v>0.8</v>
      </c>
      <c r="J23">
        <v>0.46</v>
      </c>
      <c r="K23">
        <v>0</v>
      </c>
      <c r="N23">
        <v>0.06</v>
      </c>
      <c r="O23">
        <v>0.93</v>
      </c>
      <c r="Q23">
        <v>-1</v>
      </c>
      <c r="R23">
        <v>0.03</v>
      </c>
    </row>
    <row r="24" spans="1:18" x14ac:dyDescent="0.2">
      <c r="A24" s="1">
        <v>0</v>
      </c>
      <c r="B24">
        <v>0.38</v>
      </c>
      <c r="C24">
        <v>0.27</v>
      </c>
      <c r="E24">
        <v>-1</v>
      </c>
      <c r="F24">
        <v>0.01</v>
      </c>
      <c r="G24">
        <v>1.08</v>
      </c>
      <c r="I24">
        <v>0.91</v>
      </c>
      <c r="J24">
        <v>0.47</v>
      </c>
      <c r="K24">
        <v>0</v>
      </c>
      <c r="N24">
        <v>0.06</v>
      </c>
      <c r="O24">
        <v>0.93</v>
      </c>
      <c r="Q24">
        <v>-1</v>
      </c>
      <c r="R24">
        <v>0.03</v>
      </c>
    </row>
    <row r="25" spans="1:18" x14ac:dyDescent="0.2">
      <c r="A25" s="1">
        <v>0</v>
      </c>
      <c r="B25">
        <v>0.4</v>
      </c>
      <c r="C25">
        <v>0.27</v>
      </c>
      <c r="E25">
        <v>-1</v>
      </c>
      <c r="F25">
        <v>0</v>
      </c>
      <c r="G25">
        <v>-1</v>
      </c>
      <c r="I25">
        <v>0.97</v>
      </c>
      <c r="J25">
        <v>0.43</v>
      </c>
      <c r="K25">
        <v>0</v>
      </c>
      <c r="N25">
        <v>0.06</v>
      </c>
      <c r="O25">
        <v>0.9</v>
      </c>
      <c r="Q25">
        <v>1.71</v>
      </c>
      <c r="R25">
        <v>0.03</v>
      </c>
    </row>
    <row r="26" spans="1:18" x14ac:dyDescent="0.2">
      <c r="A26" s="1">
        <v>0</v>
      </c>
      <c r="B26">
        <v>0.4</v>
      </c>
      <c r="C26">
        <v>0.28000000000000003</v>
      </c>
      <c r="E26">
        <v>-1</v>
      </c>
      <c r="F26">
        <v>-1</v>
      </c>
      <c r="G26">
        <v>-1</v>
      </c>
      <c r="I26">
        <v>1.02</v>
      </c>
      <c r="J26">
        <v>0.4</v>
      </c>
      <c r="K26">
        <v>0</v>
      </c>
      <c r="N26">
        <v>0.05</v>
      </c>
      <c r="O26">
        <v>0.88</v>
      </c>
      <c r="Q26">
        <v>-1</v>
      </c>
      <c r="R26">
        <v>0.03</v>
      </c>
    </row>
    <row r="27" spans="1:18" x14ac:dyDescent="0.2">
      <c r="A27" s="1">
        <v>0</v>
      </c>
      <c r="B27">
        <v>0.4</v>
      </c>
      <c r="C27">
        <v>0.28000000000000003</v>
      </c>
      <c r="E27">
        <v>3.16</v>
      </c>
      <c r="F27">
        <v>0</v>
      </c>
      <c r="G27">
        <v>1.1499999999999999</v>
      </c>
      <c r="I27">
        <v>-1</v>
      </c>
      <c r="J27">
        <v>0.36</v>
      </c>
      <c r="K27">
        <v>0</v>
      </c>
      <c r="N27">
        <v>0.05</v>
      </c>
      <c r="O27">
        <v>0.87</v>
      </c>
      <c r="Q27">
        <v>-1</v>
      </c>
      <c r="R27">
        <v>0.03</v>
      </c>
    </row>
    <row r="28" spans="1:18" x14ac:dyDescent="0.2">
      <c r="A28" s="1">
        <v>0</v>
      </c>
      <c r="B28">
        <v>0.39</v>
      </c>
      <c r="C28">
        <v>0.32</v>
      </c>
      <c r="E28">
        <v>2.59</v>
      </c>
      <c r="F28">
        <v>-1</v>
      </c>
      <c r="G28">
        <v>-1</v>
      </c>
      <c r="I28">
        <v>-1</v>
      </c>
      <c r="J28">
        <v>0.34</v>
      </c>
      <c r="K28">
        <v>0</v>
      </c>
      <c r="N28">
        <v>0.05</v>
      </c>
      <c r="O28">
        <v>0.86</v>
      </c>
      <c r="Q28">
        <v>-1</v>
      </c>
      <c r="R28">
        <v>0.03</v>
      </c>
    </row>
    <row r="29" spans="1:18" x14ac:dyDescent="0.2">
      <c r="A29" s="1">
        <v>0</v>
      </c>
      <c r="B29">
        <v>0.39</v>
      </c>
      <c r="C29">
        <v>0.34</v>
      </c>
      <c r="E29">
        <v>2.52</v>
      </c>
      <c r="F29">
        <v>0</v>
      </c>
      <c r="G29">
        <v>1.24</v>
      </c>
      <c r="I29">
        <v>1.06</v>
      </c>
      <c r="J29">
        <v>0.37</v>
      </c>
      <c r="K29">
        <v>0</v>
      </c>
      <c r="N29">
        <v>0.05</v>
      </c>
      <c r="O29">
        <v>0.84</v>
      </c>
      <c r="Q29">
        <v>-1</v>
      </c>
      <c r="R29">
        <v>0.03</v>
      </c>
    </row>
    <row r="30" spans="1:18" x14ac:dyDescent="0.2">
      <c r="A30" s="1">
        <v>0</v>
      </c>
      <c r="B30">
        <v>-1</v>
      </c>
      <c r="C30">
        <v>0.35</v>
      </c>
      <c r="E30">
        <v>2.5</v>
      </c>
      <c r="F30">
        <v>-1</v>
      </c>
      <c r="G30">
        <v>1.25</v>
      </c>
      <c r="I30">
        <v>1.1100000000000001</v>
      </c>
      <c r="J30">
        <v>0.38</v>
      </c>
      <c r="K30">
        <v>0</v>
      </c>
      <c r="N30">
        <v>0.05</v>
      </c>
      <c r="O30">
        <v>0.85</v>
      </c>
      <c r="Q30">
        <v>-1</v>
      </c>
      <c r="R30">
        <v>0.03</v>
      </c>
    </row>
    <row r="31" spans="1:18" x14ac:dyDescent="0.2">
      <c r="A31" s="1">
        <v>0</v>
      </c>
      <c r="B31">
        <v>-1</v>
      </c>
      <c r="C31">
        <v>0.31</v>
      </c>
      <c r="E31">
        <v>2.48</v>
      </c>
      <c r="F31">
        <v>0</v>
      </c>
      <c r="G31">
        <v>1.31</v>
      </c>
      <c r="I31">
        <v>1.08</v>
      </c>
      <c r="J31">
        <v>0.39</v>
      </c>
      <c r="K31">
        <v>0</v>
      </c>
      <c r="N31">
        <v>0.05</v>
      </c>
      <c r="O31">
        <v>0.85</v>
      </c>
      <c r="Q31">
        <v>-1</v>
      </c>
      <c r="R31">
        <v>0.03</v>
      </c>
    </row>
    <row r="32" spans="1:18" x14ac:dyDescent="0.2">
      <c r="A32" s="1">
        <v>0</v>
      </c>
      <c r="B32">
        <v>0.43</v>
      </c>
      <c r="C32">
        <v>0.33</v>
      </c>
      <c r="E32">
        <v>2.4700000000000002</v>
      </c>
      <c r="F32">
        <v>0</v>
      </c>
      <c r="G32">
        <v>1.4</v>
      </c>
      <c r="I32">
        <v>1.1200000000000001</v>
      </c>
      <c r="J32">
        <v>0.42</v>
      </c>
      <c r="K32">
        <v>0</v>
      </c>
      <c r="N32">
        <v>0.05</v>
      </c>
      <c r="O32">
        <v>0.87</v>
      </c>
      <c r="Q32">
        <v>-1</v>
      </c>
      <c r="R32">
        <v>0.03</v>
      </c>
    </row>
    <row r="33" spans="1:18" x14ac:dyDescent="0.2">
      <c r="A33" s="1">
        <v>0</v>
      </c>
      <c r="B33">
        <v>0.42</v>
      </c>
      <c r="C33">
        <v>0.31</v>
      </c>
      <c r="E33">
        <v>2.4700000000000002</v>
      </c>
      <c r="F33">
        <v>0</v>
      </c>
      <c r="G33">
        <v>1.35</v>
      </c>
      <c r="I33">
        <v>-1</v>
      </c>
      <c r="J33">
        <v>0.43</v>
      </c>
      <c r="K33">
        <v>0</v>
      </c>
      <c r="N33">
        <v>0.05</v>
      </c>
      <c r="O33">
        <v>0.88</v>
      </c>
      <c r="Q33">
        <v>-1</v>
      </c>
      <c r="R33">
        <v>0.03</v>
      </c>
    </row>
    <row r="34" spans="1:18" x14ac:dyDescent="0.2">
      <c r="A34" s="1">
        <v>0</v>
      </c>
      <c r="B34">
        <v>0.46</v>
      </c>
      <c r="C34">
        <v>-1</v>
      </c>
      <c r="E34">
        <v>-1</v>
      </c>
      <c r="F34">
        <v>0</v>
      </c>
      <c r="G34">
        <v>1.29</v>
      </c>
      <c r="I34">
        <v>1.1399999999999999</v>
      </c>
      <c r="J34">
        <v>0.38</v>
      </c>
      <c r="K34">
        <v>0</v>
      </c>
      <c r="N34">
        <v>0.04</v>
      </c>
      <c r="O34">
        <v>0.9</v>
      </c>
      <c r="Q34">
        <v>-1</v>
      </c>
      <c r="R34">
        <v>0.03</v>
      </c>
    </row>
    <row r="35" spans="1:18" x14ac:dyDescent="0.2">
      <c r="A35" s="1">
        <v>0</v>
      </c>
      <c r="B35">
        <v>0.45</v>
      </c>
      <c r="C35">
        <v>-1</v>
      </c>
      <c r="E35">
        <v>-1</v>
      </c>
      <c r="F35">
        <v>0</v>
      </c>
      <c r="G35">
        <v>-1</v>
      </c>
      <c r="I35">
        <v>1.1100000000000001</v>
      </c>
      <c r="J35">
        <v>0.39</v>
      </c>
      <c r="K35">
        <v>0</v>
      </c>
      <c r="N35">
        <v>0.04</v>
      </c>
      <c r="O35">
        <v>0.9</v>
      </c>
      <c r="Q35">
        <v>1.47</v>
      </c>
      <c r="R35">
        <v>0.03</v>
      </c>
    </row>
    <row r="36" spans="1:18" x14ac:dyDescent="0.2">
      <c r="A36" s="1">
        <v>-1</v>
      </c>
      <c r="B36">
        <v>0.47</v>
      </c>
      <c r="C36">
        <v>0.31</v>
      </c>
      <c r="E36">
        <v>2.57</v>
      </c>
      <c r="F36">
        <v>0</v>
      </c>
      <c r="G36">
        <v>1.27</v>
      </c>
      <c r="I36">
        <v>-1</v>
      </c>
      <c r="J36">
        <v>0.35</v>
      </c>
      <c r="K36">
        <v>0</v>
      </c>
      <c r="N36">
        <v>0.04</v>
      </c>
      <c r="O36">
        <v>0.89</v>
      </c>
      <c r="Q36">
        <v>-1</v>
      </c>
      <c r="R36">
        <v>0.03</v>
      </c>
    </row>
    <row r="37" spans="1:18" x14ac:dyDescent="0.2">
      <c r="A37" s="1">
        <v>0</v>
      </c>
      <c r="B37">
        <v>-1</v>
      </c>
      <c r="C37">
        <v>0.28000000000000003</v>
      </c>
      <c r="E37">
        <v>-1</v>
      </c>
      <c r="F37">
        <v>-1</v>
      </c>
      <c r="G37">
        <v>1.24</v>
      </c>
      <c r="I37">
        <v>1.0900000000000001</v>
      </c>
      <c r="J37">
        <v>-1</v>
      </c>
      <c r="K37">
        <v>0</v>
      </c>
      <c r="N37">
        <v>0.05</v>
      </c>
      <c r="O37">
        <v>0.91</v>
      </c>
      <c r="Q37">
        <v>1.47</v>
      </c>
      <c r="R37">
        <v>0.03</v>
      </c>
    </row>
    <row r="38" spans="1:18" x14ac:dyDescent="0.2">
      <c r="A38" s="1">
        <v>-1</v>
      </c>
      <c r="B38">
        <v>0.5</v>
      </c>
      <c r="C38">
        <v>-1</v>
      </c>
      <c r="E38">
        <v>2.61</v>
      </c>
      <c r="F38">
        <v>0.01</v>
      </c>
      <c r="G38">
        <v>1.2</v>
      </c>
      <c r="I38">
        <v>-1</v>
      </c>
      <c r="J38">
        <v>0.32</v>
      </c>
      <c r="K38">
        <v>-1</v>
      </c>
      <c r="N38">
        <v>0.05</v>
      </c>
      <c r="O38">
        <v>0.9</v>
      </c>
      <c r="Q38">
        <v>1.36</v>
      </c>
      <c r="R38">
        <v>0.03</v>
      </c>
    </row>
    <row r="39" spans="1:18" x14ac:dyDescent="0.2">
      <c r="A39" s="1">
        <v>0</v>
      </c>
      <c r="B39">
        <v>0.54</v>
      </c>
      <c r="C39">
        <v>0.25</v>
      </c>
      <c r="E39">
        <v>-1</v>
      </c>
      <c r="F39">
        <v>0</v>
      </c>
      <c r="G39">
        <v>1.17</v>
      </c>
      <c r="I39">
        <v>-1</v>
      </c>
      <c r="J39">
        <v>0.36</v>
      </c>
      <c r="K39">
        <v>-1</v>
      </c>
      <c r="N39">
        <v>0.06</v>
      </c>
      <c r="O39">
        <v>0.9</v>
      </c>
      <c r="Q39">
        <v>1.33</v>
      </c>
      <c r="R39">
        <v>0.03</v>
      </c>
    </row>
    <row r="40" spans="1:18" x14ac:dyDescent="0.2">
      <c r="A40" s="1">
        <v>0</v>
      </c>
      <c r="B40">
        <v>0.55000000000000004</v>
      </c>
      <c r="C40">
        <v>0.24</v>
      </c>
      <c r="E40">
        <v>2.7</v>
      </c>
      <c r="F40">
        <v>0</v>
      </c>
      <c r="G40">
        <v>-1</v>
      </c>
      <c r="I40">
        <v>1.1499999999999999</v>
      </c>
      <c r="J40">
        <v>0.32</v>
      </c>
      <c r="K40">
        <v>0</v>
      </c>
      <c r="N40">
        <v>0.06</v>
      </c>
      <c r="O40">
        <v>0.88</v>
      </c>
      <c r="Q40">
        <v>1.32</v>
      </c>
      <c r="R40">
        <v>0.03</v>
      </c>
    </row>
    <row r="41" spans="1:18" x14ac:dyDescent="0.2">
      <c r="A41" s="1">
        <v>0</v>
      </c>
      <c r="B41">
        <v>0.56000000000000005</v>
      </c>
      <c r="C41">
        <v>0.24</v>
      </c>
      <c r="E41">
        <v>-1</v>
      </c>
      <c r="F41">
        <v>0.01</v>
      </c>
      <c r="G41">
        <v>-1</v>
      </c>
      <c r="I41">
        <v>1.21</v>
      </c>
      <c r="J41">
        <v>0.34</v>
      </c>
      <c r="K41">
        <v>0</v>
      </c>
      <c r="N41">
        <v>0.06</v>
      </c>
      <c r="O41">
        <v>0.87</v>
      </c>
      <c r="Q41">
        <v>1.36</v>
      </c>
      <c r="R41">
        <v>0.03</v>
      </c>
    </row>
    <row r="42" spans="1:18" x14ac:dyDescent="0.2">
      <c r="A42" s="1">
        <v>0</v>
      </c>
      <c r="B42">
        <v>0.55000000000000004</v>
      </c>
      <c r="C42">
        <v>0.24</v>
      </c>
      <c r="E42">
        <v>-1</v>
      </c>
      <c r="F42">
        <v>0.01</v>
      </c>
      <c r="G42">
        <v>1.1599999999999999</v>
      </c>
      <c r="I42">
        <v>-1</v>
      </c>
      <c r="J42">
        <v>-1</v>
      </c>
      <c r="K42">
        <v>0</v>
      </c>
      <c r="N42">
        <v>0.05</v>
      </c>
      <c r="O42">
        <v>0.84</v>
      </c>
      <c r="Q42">
        <v>1.38</v>
      </c>
      <c r="R42">
        <v>0.03</v>
      </c>
    </row>
    <row r="43" spans="1:18" x14ac:dyDescent="0.2">
      <c r="A43" s="1">
        <v>0</v>
      </c>
      <c r="B43">
        <v>0.56000000000000005</v>
      </c>
      <c r="C43">
        <v>0.26</v>
      </c>
      <c r="E43">
        <v>-1</v>
      </c>
      <c r="F43">
        <v>0</v>
      </c>
      <c r="G43">
        <v>1.1599999999999999</v>
      </c>
      <c r="I43">
        <v>1.23</v>
      </c>
      <c r="J43">
        <v>-1</v>
      </c>
      <c r="K43">
        <v>0</v>
      </c>
      <c r="N43">
        <v>0.05</v>
      </c>
      <c r="O43">
        <v>0.84</v>
      </c>
      <c r="Q43">
        <v>-1</v>
      </c>
      <c r="R43">
        <v>0.03</v>
      </c>
    </row>
    <row r="44" spans="1:18" x14ac:dyDescent="0.2">
      <c r="A44" s="1">
        <v>0</v>
      </c>
      <c r="B44">
        <v>0.59</v>
      </c>
      <c r="C44">
        <v>0.27</v>
      </c>
      <c r="E44">
        <v>2.65</v>
      </c>
      <c r="F44">
        <v>0</v>
      </c>
      <c r="G44">
        <v>1.0900000000000001</v>
      </c>
      <c r="I44">
        <v>1.24</v>
      </c>
      <c r="J44">
        <v>-1</v>
      </c>
      <c r="K44">
        <v>0</v>
      </c>
      <c r="N44">
        <v>0.06</v>
      </c>
      <c r="O44">
        <v>0.86</v>
      </c>
      <c r="Q44">
        <v>-1</v>
      </c>
      <c r="R44">
        <v>0.03</v>
      </c>
    </row>
    <row r="45" spans="1:18" x14ac:dyDescent="0.2">
      <c r="A45" s="1">
        <v>0</v>
      </c>
      <c r="B45">
        <v>0.53</v>
      </c>
      <c r="C45">
        <v>0.25</v>
      </c>
      <c r="E45">
        <v>2.61</v>
      </c>
      <c r="F45">
        <v>0</v>
      </c>
      <c r="G45">
        <v>1.05</v>
      </c>
      <c r="I45">
        <v>1.25</v>
      </c>
      <c r="J45">
        <v>-1</v>
      </c>
      <c r="K45">
        <v>0</v>
      </c>
      <c r="N45">
        <v>0.05</v>
      </c>
      <c r="O45">
        <v>0.85</v>
      </c>
      <c r="Q45">
        <v>1.36</v>
      </c>
      <c r="R45">
        <v>0.03</v>
      </c>
    </row>
    <row r="46" spans="1:18" x14ac:dyDescent="0.2">
      <c r="A46" s="1">
        <v>0</v>
      </c>
      <c r="B46">
        <v>0.49</v>
      </c>
      <c r="C46">
        <v>0.23</v>
      </c>
      <c r="E46">
        <v>2.58</v>
      </c>
      <c r="F46">
        <v>0</v>
      </c>
      <c r="G46">
        <v>-1</v>
      </c>
      <c r="I46">
        <v>1.26</v>
      </c>
      <c r="J46">
        <v>0.37</v>
      </c>
      <c r="K46">
        <v>0</v>
      </c>
      <c r="N46">
        <v>0.05</v>
      </c>
      <c r="O46">
        <v>0.85</v>
      </c>
      <c r="Q46">
        <v>1.34</v>
      </c>
      <c r="R46">
        <v>0.03</v>
      </c>
    </row>
    <row r="47" spans="1:18" x14ac:dyDescent="0.2">
      <c r="A47" s="1">
        <v>-1</v>
      </c>
      <c r="B47">
        <v>0.45</v>
      </c>
      <c r="C47">
        <v>0.26</v>
      </c>
      <c r="E47">
        <v>2.5499999999999998</v>
      </c>
      <c r="F47">
        <v>0.01</v>
      </c>
      <c r="G47">
        <v>1.06</v>
      </c>
      <c r="I47">
        <v>1.26</v>
      </c>
      <c r="J47">
        <v>0.45</v>
      </c>
      <c r="K47">
        <v>0</v>
      </c>
      <c r="N47">
        <v>0.05</v>
      </c>
      <c r="O47">
        <v>0.86</v>
      </c>
      <c r="Q47">
        <v>1.3</v>
      </c>
      <c r="R47">
        <v>0.03</v>
      </c>
    </row>
    <row r="48" spans="1:18" x14ac:dyDescent="0.2">
      <c r="A48" s="1">
        <v>-1</v>
      </c>
      <c r="B48">
        <v>0.43</v>
      </c>
      <c r="C48">
        <v>0.28000000000000003</v>
      </c>
      <c r="E48">
        <v>2.54</v>
      </c>
      <c r="F48">
        <v>0</v>
      </c>
      <c r="G48">
        <v>-1</v>
      </c>
      <c r="I48">
        <v>-1</v>
      </c>
      <c r="J48">
        <v>0.48</v>
      </c>
      <c r="K48">
        <v>0</v>
      </c>
      <c r="N48">
        <v>0.06</v>
      </c>
      <c r="O48">
        <v>0.86</v>
      </c>
      <c r="Q48">
        <v>1.26</v>
      </c>
      <c r="R48">
        <v>0.03</v>
      </c>
    </row>
    <row r="49" spans="1:18" x14ac:dyDescent="0.2">
      <c r="A49" s="1">
        <v>0</v>
      </c>
      <c r="B49">
        <v>0.43</v>
      </c>
      <c r="C49">
        <v>0.27</v>
      </c>
      <c r="E49">
        <v>2.5299999999999998</v>
      </c>
      <c r="F49">
        <v>0.01</v>
      </c>
      <c r="G49">
        <v>1.02</v>
      </c>
      <c r="I49">
        <v>-1</v>
      </c>
      <c r="J49">
        <v>0.51</v>
      </c>
      <c r="K49">
        <v>0</v>
      </c>
      <c r="N49">
        <v>0.06</v>
      </c>
      <c r="O49">
        <v>0.85</v>
      </c>
      <c r="Q49">
        <v>1.27</v>
      </c>
      <c r="R49">
        <v>0.03</v>
      </c>
    </row>
    <row r="50" spans="1:18" x14ac:dyDescent="0.2">
      <c r="A50" s="1">
        <v>0</v>
      </c>
      <c r="B50">
        <v>0.42</v>
      </c>
      <c r="C50">
        <v>0.27</v>
      </c>
      <c r="E50">
        <v>2.4300000000000002</v>
      </c>
      <c r="F50">
        <v>0</v>
      </c>
      <c r="G50">
        <v>-1</v>
      </c>
      <c r="I50">
        <v>1.22</v>
      </c>
      <c r="J50">
        <v>0.4</v>
      </c>
      <c r="K50">
        <v>0</v>
      </c>
      <c r="N50">
        <v>0.05</v>
      </c>
      <c r="O50">
        <v>0.84</v>
      </c>
      <c r="Q50">
        <v>1.27</v>
      </c>
      <c r="R50">
        <v>0.03</v>
      </c>
    </row>
    <row r="51" spans="1:18" x14ac:dyDescent="0.2">
      <c r="A51" s="1">
        <v>0</v>
      </c>
      <c r="B51">
        <v>0.42</v>
      </c>
      <c r="C51">
        <v>0.28999999999999998</v>
      </c>
      <c r="E51">
        <v>2.35</v>
      </c>
      <c r="F51">
        <v>0.01</v>
      </c>
      <c r="G51">
        <v>0.99</v>
      </c>
      <c r="I51">
        <v>1.2</v>
      </c>
      <c r="J51">
        <v>0.35</v>
      </c>
      <c r="K51">
        <v>0</v>
      </c>
      <c r="N51">
        <v>0.05</v>
      </c>
      <c r="O51">
        <v>0.83</v>
      </c>
      <c r="Q51">
        <v>1.25</v>
      </c>
      <c r="R51">
        <v>0.03</v>
      </c>
    </row>
    <row r="52" spans="1:18" x14ac:dyDescent="0.2">
      <c r="A52" s="1">
        <v>0</v>
      </c>
      <c r="B52">
        <v>0.42</v>
      </c>
      <c r="C52">
        <v>0.31</v>
      </c>
      <c r="F52">
        <v>-1</v>
      </c>
      <c r="G52">
        <v>-1</v>
      </c>
      <c r="I52">
        <v>1.24</v>
      </c>
      <c r="J52">
        <v>0.38</v>
      </c>
      <c r="K52">
        <v>0</v>
      </c>
      <c r="N52">
        <v>0.05</v>
      </c>
      <c r="O52">
        <v>0.82</v>
      </c>
      <c r="Q52">
        <v>1.28</v>
      </c>
      <c r="R52">
        <v>0.03</v>
      </c>
    </row>
    <row r="53" spans="1:18" x14ac:dyDescent="0.2">
      <c r="A53" s="1">
        <v>0</v>
      </c>
      <c r="B53">
        <v>0.42</v>
      </c>
      <c r="C53">
        <v>0.33</v>
      </c>
      <c r="F53">
        <v>-1</v>
      </c>
      <c r="G53">
        <v>1.02</v>
      </c>
      <c r="I53">
        <v>-1</v>
      </c>
      <c r="J53">
        <v>0.4</v>
      </c>
      <c r="K53">
        <v>-1</v>
      </c>
      <c r="N53">
        <v>0.05</v>
      </c>
      <c r="O53">
        <v>0.81</v>
      </c>
      <c r="Q53">
        <v>1.3</v>
      </c>
      <c r="R53">
        <v>0.03</v>
      </c>
    </row>
    <row r="54" spans="1:18" x14ac:dyDescent="0.2">
      <c r="A54" s="1">
        <v>0</v>
      </c>
      <c r="B54">
        <v>0.43</v>
      </c>
      <c r="C54">
        <v>-1</v>
      </c>
      <c r="F54">
        <v>0</v>
      </c>
      <c r="G54">
        <v>-1</v>
      </c>
      <c r="I54">
        <v>1.27</v>
      </c>
      <c r="J54">
        <v>0.42</v>
      </c>
      <c r="K54">
        <v>-1</v>
      </c>
      <c r="N54">
        <v>0.05</v>
      </c>
      <c r="O54">
        <v>0.82</v>
      </c>
      <c r="R54">
        <v>0.03</v>
      </c>
    </row>
    <row r="55" spans="1:18" x14ac:dyDescent="0.2">
      <c r="A55" s="1">
        <v>0</v>
      </c>
      <c r="B55">
        <v>0.43</v>
      </c>
      <c r="C55">
        <v>0.34</v>
      </c>
      <c r="F55">
        <v>0</v>
      </c>
      <c r="G55">
        <v>1.1100000000000001</v>
      </c>
      <c r="I55">
        <v>-1</v>
      </c>
      <c r="J55">
        <v>-1</v>
      </c>
      <c r="K55">
        <v>0</v>
      </c>
      <c r="N55">
        <v>0.05</v>
      </c>
      <c r="O55">
        <v>0.83</v>
      </c>
      <c r="R55">
        <v>0.03</v>
      </c>
    </row>
    <row r="56" spans="1:18" x14ac:dyDescent="0.2">
      <c r="A56" s="1">
        <v>0</v>
      </c>
      <c r="B56">
        <v>-1</v>
      </c>
      <c r="C56">
        <v>0.31</v>
      </c>
      <c r="F56">
        <v>0</v>
      </c>
      <c r="G56">
        <v>1.2</v>
      </c>
      <c r="I56">
        <v>-1</v>
      </c>
      <c r="J56">
        <v>0.42</v>
      </c>
      <c r="K56">
        <v>0</v>
      </c>
      <c r="N56">
        <v>0.05</v>
      </c>
      <c r="O56">
        <v>0.86</v>
      </c>
      <c r="R56">
        <v>0.03</v>
      </c>
    </row>
    <row r="57" spans="1:18" x14ac:dyDescent="0.2">
      <c r="A57" s="1">
        <v>0</v>
      </c>
      <c r="B57">
        <v>0.42</v>
      </c>
      <c r="C57">
        <v>0.33</v>
      </c>
      <c r="F57">
        <v>0</v>
      </c>
      <c r="G57">
        <v>-1</v>
      </c>
      <c r="I57">
        <v>1.39</v>
      </c>
      <c r="J57">
        <v>-1</v>
      </c>
      <c r="K57">
        <v>0</v>
      </c>
      <c r="N57">
        <v>0.05</v>
      </c>
      <c r="O57">
        <v>0.86</v>
      </c>
      <c r="R57">
        <v>0.03</v>
      </c>
    </row>
    <row r="58" spans="1:18" x14ac:dyDescent="0.2">
      <c r="A58" s="1">
        <v>0</v>
      </c>
      <c r="B58">
        <v>0.46</v>
      </c>
      <c r="C58">
        <v>0.3</v>
      </c>
      <c r="F58">
        <v>0</v>
      </c>
      <c r="G58">
        <v>-1</v>
      </c>
      <c r="I58">
        <v>1.52</v>
      </c>
      <c r="J58">
        <v>0.37</v>
      </c>
      <c r="K58">
        <v>0</v>
      </c>
      <c r="N58">
        <v>0.05</v>
      </c>
      <c r="O58">
        <v>0.88</v>
      </c>
      <c r="R58">
        <v>0.03</v>
      </c>
    </row>
    <row r="59" spans="1:18" x14ac:dyDescent="0.2">
      <c r="A59" s="1">
        <v>0</v>
      </c>
      <c r="B59">
        <v>0.45</v>
      </c>
      <c r="C59">
        <v>0.31</v>
      </c>
      <c r="F59">
        <v>0</v>
      </c>
      <c r="G59">
        <v>1.22</v>
      </c>
      <c r="I59">
        <v>-1</v>
      </c>
      <c r="J59">
        <v>-1</v>
      </c>
      <c r="K59">
        <v>0</v>
      </c>
      <c r="N59">
        <v>0.05</v>
      </c>
      <c r="O59">
        <v>0.89</v>
      </c>
      <c r="R59">
        <v>0.03</v>
      </c>
    </row>
    <row r="60" spans="1:18" x14ac:dyDescent="0.2">
      <c r="A60" s="1">
        <v>-1</v>
      </c>
      <c r="B60">
        <v>-1</v>
      </c>
      <c r="C60">
        <v>0.3</v>
      </c>
      <c r="F60">
        <v>0</v>
      </c>
      <c r="G60">
        <v>1.24</v>
      </c>
      <c r="I60">
        <v>1.54</v>
      </c>
      <c r="J60">
        <v>0.3</v>
      </c>
      <c r="K60">
        <v>0</v>
      </c>
      <c r="N60">
        <v>0.05</v>
      </c>
      <c r="O60">
        <v>0.91</v>
      </c>
      <c r="R60">
        <v>0.03</v>
      </c>
    </row>
    <row r="61" spans="1:18" x14ac:dyDescent="0.2">
      <c r="A61" s="1">
        <v>-1</v>
      </c>
      <c r="B61">
        <v>-1</v>
      </c>
      <c r="C61">
        <v>0.31</v>
      </c>
      <c r="F61">
        <v>0</v>
      </c>
      <c r="G61">
        <v>1.21</v>
      </c>
      <c r="I61">
        <v>-1</v>
      </c>
      <c r="J61">
        <v>-1</v>
      </c>
      <c r="K61">
        <v>-1</v>
      </c>
      <c r="N61">
        <v>0.05</v>
      </c>
      <c r="O61">
        <v>0.94</v>
      </c>
      <c r="R61">
        <v>0.03</v>
      </c>
    </row>
    <row r="62" spans="1:18" x14ac:dyDescent="0.2">
      <c r="A62" s="1">
        <v>0</v>
      </c>
      <c r="F62">
        <v>0.01</v>
      </c>
      <c r="J62">
        <v>0.28999999999999998</v>
      </c>
      <c r="N62">
        <v>0.05</v>
      </c>
      <c r="R62">
        <v>0.03</v>
      </c>
    </row>
    <row r="64" spans="1:18" x14ac:dyDescent="0.2">
      <c r="A64" s="2">
        <f>AVERAGE(A3:A63)</f>
        <v>-0.13333333333333333</v>
      </c>
      <c r="B64" s="2">
        <f>AVERAGE(B3:B63)</f>
        <v>0.23711864406779659</v>
      </c>
      <c r="C64" s="2">
        <f>AVERAGE(C3:C63)</f>
        <v>0.13728813559322034</v>
      </c>
      <c r="D64" s="2"/>
      <c r="E64" s="2">
        <f>AVERAGE(E3:E63)</f>
        <v>0.59755102040816332</v>
      </c>
      <c r="F64" s="2">
        <f>AVERAGE(F3:F63)</f>
        <v>-0.13100000000000003</v>
      </c>
      <c r="G64" s="2">
        <f>AVERAGE(G3:G63)</f>
        <v>0.41966101694915237</v>
      </c>
      <c r="H64" s="2"/>
      <c r="I64" s="2">
        <f>AVERAGE(I3:I63)</f>
        <v>0.42152542372881352</v>
      </c>
      <c r="J64" s="2">
        <f>AVERAGE(J3:J63)</f>
        <v>0.15883333333333333</v>
      </c>
      <c r="K64" s="2">
        <f>AVERAGE(K3:K63)</f>
        <v>-0.13559322033898305</v>
      </c>
      <c r="L64" s="2"/>
      <c r="M64" s="2"/>
      <c r="N64" s="2">
        <f>AVERAGE(N3:N63)</f>
        <v>-6.9500000000000173E-2</v>
      </c>
      <c r="O64" s="2">
        <f>AVERAGE(O3:O63)</f>
        <v>0.88525423728813579</v>
      </c>
      <c r="P64" s="2"/>
      <c r="Q64" s="2">
        <f>AVERAGE(Q3:Q63)</f>
        <v>-8.0196078431372622E-2</v>
      </c>
      <c r="R64" s="2">
        <f>AVERAGE(R3:R63)</f>
        <v>1.183333333333335E-2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Disk 4</vt:lpstr>
      <vt:lpstr>Sheet10</vt:lpstr>
      <vt:lpstr>Graph overview</vt:lpstr>
      <vt:lpstr>Sheet1</vt:lpstr>
      <vt:lpstr>Sheet9</vt:lpstr>
      <vt:lpstr>Disk 5</vt:lpstr>
      <vt:lpstr>Disk 6</vt:lpstr>
      <vt:lpstr>Estemote 3873 28141</vt:lpstr>
      <vt:lpstr>Estemote 31536 15107</vt:lpstr>
      <vt:lpstr>Estemote 17519 22858</vt:lpstr>
      <vt:lpstr>Overview</vt:lpstr>
      <vt:lpstr>Avarage Accrucy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Theunis Bassage</cp:lastModifiedBy>
  <dcterms:created xsi:type="dcterms:W3CDTF">2018-07-26T13:58:23Z</dcterms:created>
  <dcterms:modified xsi:type="dcterms:W3CDTF">2018-07-30T08:51:19Z</dcterms:modified>
</cp:coreProperties>
</file>