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workbookPr defaultThemeVersion="166925"/>
  <mc:AlternateContent xmlns:mc="http://schemas.openxmlformats.org/markup-compatibility/2006">
    <mc:Choice Requires="x15">
      <x15ac:absPath xmlns:x15ac="http://schemas.microsoft.com/office/spreadsheetml/2010/11/ac" url="/Users/walt/Desktop/Llama/Tests/"/>
    </mc:Choice>
  </mc:AlternateContent>
  <xr:revisionPtr revIDLastSave="0" documentId="13_ncr:1_{077046E5-6A9E-B041-A2D2-57AF291482E4}" xr6:coauthVersionLast="34" xr6:coauthVersionMax="34" xr10:uidLastSave="{00000000-0000-0000-0000-000000000000}"/>
  <bookViews>
    <workbookView xWindow="0" yWindow="0" windowWidth="38400" windowHeight="21600" activeTab="4" xr2:uid="{00000000-000D-0000-FFFF-FFFF00000000}"/>
  </bookViews>
  <sheets>
    <sheet name="10004 Exhibit" sheetId="2" r:id="rId1"/>
    <sheet name="10005 Exhibit" sheetId="1" r:id="rId2"/>
    <sheet name="10006 Exhibit" sheetId="3" r:id="rId3"/>
    <sheet name="Walk About" sheetId="4" r:id="rId4"/>
    <sheet name="Overview" sheetId="5" r:id="rId5"/>
  </sheets>
  <definedNames>
    <definedName name="_xlnm._FilterDatabase" localSheetId="0" hidden="1">'10004 Exhibit'!$A$1:$F$172</definedName>
    <definedName name="_xlnm._FilterDatabase" localSheetId="1" hidden="1">'10005 Exhibit'!$A$1:$F$179</definedName>
    <definedName name="_xlnm._FilterDatabase" localSheetId="2" hidden="1">'10006 Exhibit'!$A$1:$F$178</definedName>
    <definedName name="_xlnm._FilterDatabase" localSheetId="3" hidden="1">'Walk About'!$A$1:$F$352</definedName>
  </definedNames>
  <calcPr calcId="179021"/>
</workbook>
</file>

<file path=xl/calcChain.xml><?xml version="1.0" encoding="utf-8"?>
<calcChain xmlns="http://schemas.openxmlformats.org/spreadsheetml/2006/main">
  <c r="S91" i="5" l="1"/>
  <c r="S57" i="5"/>
  <c r="S23" i="5"/>
  <c r="S90" i="5"/>
  <c r="S89" i="5"/>
  <c r="S88" i="5"/>
  <c r="S56" i="5"/>
  <c r="S55" i="5"/>
  <c r="S54" i="5"/>
  <c r="S22" i="5"/>
  <c r="S21" i="5"/>
  <c r="S20" i="5"/>
  <c r="S127" i="5"/>
  <c r="S128" i="5"/>
  <c r="S129" i="5"/>
  <c r="S131" i="5"/>
  <c r="S132" i="5"/>
  <c r="S133" i="5"/>
  <c r="S135" i="5"/>
  <c r="S136" i="5"/>
  <c r="S137" i="5"/>
  <c r="AC246" i="5" l="1"/>
  <c r="AC245" i="5"/>
  <c r="AC244" i="5"/>
  <c r="AC243" i="5"/>
  <c r="AC242" i="5"/>
  <c r="AC241" i="5"/>
  <c r="AC240" i="5"/>
  <c r="AC239" i="5"/>
  <c r="AB246" i="5"/>
  <c r="AB245" i="5"/>
  <c r="AB244" i="5"/>
  <c r="AB243" i="5"/>
  <c r="AB242" i="5"/>
  <c r="AB241" i="5"/>
  <c r="AB240" i="5"/>
  <c r="AB239" i="5"/>
  <c r="AA246" i="5"/>
  <c r="AA245" i="5"/>
  <c r="AA244" i="5"/>
  <c r="AA243" i="5"/>
  <c r="AA242" i="5"/>
  <c r="AA241" i="5"/>
  <c r="AA240" i="5"/>
  <c r="AA239" i="5"/>
  <c r="AC238" i="5"/>
  <c r="AB238" i="5"/>
  <c r="AA238" i="5"/>
  <c r="AC237" i="5"/>
  <c r="AB237" i="5"/>
  <c r="AA237" i="5"/>
  <c r="AC236" i="5"/>
  <c r="AB236" i="5"/>
  <c r="AA236" i="5"/>
  <c r="AC235" i="5"/>
  <c r="AB235" i="5"/>
  <c r="AA235" i="5"/>
  <c r="N4" i="3"/>
  <c r="N5" i="3"/>
  <c r="N6" i="3"/>
  <c r="N9" i="3"/>
  <c r="N10" i="3"/>
  <c r="N11" i="3"/>
  <c r="N12" i="3"/>
  <c r="N13" i="3"/>
  <c r="N14" i="3"/>
  <c r="N15" i="3"/>
  <c r="N16" i="3"/>
  <c r="N17" i="3"/>
  <c r="N18" i="3"/>
  <c r="N19" i="3"/>
  <c r="N20" i="3"/>
  <c r="N21" i="3"/>
  <c r="N22" i="3"/>
  <c r="N23" i="3"/>
  <c r="N24" i="3"/>
  <c r="N26" i="3"/>
  <c r="N27" i="3"/>
  <c r="N28" i="3"/>
  <c r="N29" i="3"/>
  <c r="N30" i="3"/>
  <c r="N31" i="3"/>
  <c r="N33" i="3"/>
  <c r="N34" i="3"/>
  <c r="N36" i="3"/>
  <c r="N37" i="3"/>
  <c r="N38" i="3"/>
  <c r="N39" i="3"/>
  <c r="N41" i="3"/>
  <c r="N42" i="3"/>
  <c r="N43" i="3"/>
  <c r="N45" i="3"/>
  <c r="N46" i="3"/>
  <c r="N47" i="3"/>
  <c r="N48" i="3"/>
  <c r="N49" i="3"/>
  <c r="N50" i="3"/>
  <c r="N51" i="3"/>
  <c r="N52" i="3"/>
  <c r="N53" i="3"/>
  <c r="N54" i="3"/>
  <c r="N55" i="3"/>
  <c r="N56" i="3"/>
  <c r="N57" i="3"/>
  <c r="N58" i="3"/>
  <c r="N59" i="3"/>
  <c r="N60" i="3"/>
  <c r="N61" i="3"/>
  <c r="N62" i="3"/>
  <c r="N3" i="3"/>
</calcChain>
</file>

<file path=xl/sharedStrings.xml><?xml version="1.0" encoding="utf-8"?>
<sst xmlns="http://schemas.openxmlformats.org/spreadsheetml/2006/main" count="1643" uniqueCount="350">
  <si>
    <t>major</t>
  </si>
  <si>
    <t>minor</t>
  </si>
  <si>
    <t>rssi</t>
  </si>
  <si>
    <t>accuracy</t>
  </si>
  <si>
    <t>distance</t>
  </si>
  <si>
    <t>date</t>
  </si>
  <si>
    <t>Near</t>
  </si>
  <si>
    <t>27.07.2018 14:30:31</t>
  </si>
  <si>
    <t>Immediate</t>
  </si>
  <si>
    <t>27.07.2018 14:30:32</t>
  </si>
  <si>
    <t>27.07.2018 14:30:33</t>
  </si>
  <si>
    <t>27.07.2018 14:30:34</t>
  </si>
  <si>
    <t>27.07.2018 14:30:35</t>
  </si>
  <si>
    <t>27.07.2018 14:30:36</t>
  </si>
  <si>
    <t>27.07.2018 14:30:37</t>
  </si>
  <si>
    <t>27.07.2018 14:30:38</t>
  </si>
  <si>
    <t>27.07.2018 14:30:39</t>
  </si>
  <si>
    <t>27.07.2018 14:30:40</t>
  </si>
  <si>
    <t>27.07.2018 14:30:41</t>
  </si>
  <si>
    <t>27.07.2018 14:30:42</t>
  </si>
  <si>
    <t>27.07.2018 14:30:43</t>
  </si>
  <si>
    <t>27.07.2018 14:30:44</t>
  </si>
  <si>
    <t>27.07.2018 14:30:45</t>
  </si>
  <si>
    <t>27.07.2018 14:30:46</t>
  </si>
  <si>
    <t>27.07.2018 14:30:47</t>
  </si>
  <si>
    <t>27.07.2018 14:30:48</t>
  </si>
  <si>
    <t>27.07.2018 14:30:49</t>
  </si>
  <si>
    <t>27.07.2018 14:30:50</t>
  </si>
  <si>
    <t>27.07.2018 14:30:51</t>
  </si>
  <si>
    <t>27.07.2018 14:30:52</t>
  </si>
  <si>
    <t>27.07.2018 14:30:53</t>
  </si>
  <si>
    <t>27.07.2018 14:30:54</t>
  </si>
  <si>
    <t>27.07.2018 14:30:55</t>
  </si>
  <si>
    <t>27.07.2018 14:30:56</t>
  </si>
  <si>
    <t>27.07.2018 14:30:57</t>
  </si>
  <si>
    <t>27.07.2018 14:30:58</t>
  </si>
  <si>
    <t>27.07.2018 14:30:59</t>
  </si>
  <si>
    <t>27.07.2018 14:31:00</t>
  </si>
  <si>
    <t>27.07.2018 14:31:01</t>
  </si>
  <si>
    <t>27.07.2018 14:31:02</t>
  </si>
  <si>
    <t>27.07.2018 14:31:03</t>
  </si>
  <si>
    <t>27.07.2018 14:31:04</t>
  </si>
  <si>
    <t>27.07.2018 14:31:05</t>
  </si>
  <si>
    <t>27.07.2018 14:31:06</t>
  </si>
  <si>
    <t>27.07.2018 14:31:07</t>
  </si>
  <si>
    <t>27.07.2018 14:31:08</t>
  </si>
  <si>
    <t>27.07.2018 14:31:09</t>
  </si>
  <si>
    <t>27.07.2018 14:31:10</t>
  </si>
  <si>
    <t>27.07.2018 14:31:11</t>
  </si>
  <si>
    <t>27.07.2018 14:31:12</t>
  </si>
  <si>
    <t>27.07.2018 14:31:13</t>
  </si>
  <si>
    <t>27.07.2018 14:31:14</t>
  </si>
  <si>
    <t>27.07.2018 14:31:15</t>
  </si>
  <si>
    <t>27.07.2018 14:31:16</t>
  </si>
  <si>
    <t>27.07.2018 14:31:17</t>
  </si>
  <si>
    <t>27.07.2018 14:31:18</t>
  </si>
  <si>
    <t>27.07.2018 14:31:19</t>
  </si>
  <si>
    <t>27.07.2018 14:31:20</t>
  </si>
  <si>
    <t>27.07.2018 14:31:21</t>
  </si>
  <si>
    <t>27.07.2018 14:31:22</t>
  </si>
  <si>
    <t>27.07.2018 14:31:23</t>
  </si>
  <si>
    <t>27.07.2018 14:31:24</t>
  </si>
  <si>
    <t>27.07.2018 14:31:25</t>
  </si>
  <si>
    <t>27.07.2018 14:31:26</t>
  </si>
  <si>
    <t>27.07.2018 14:31:27</t>
  </si>
  <si>
    <t>27.07.2018 14:31:28</t>
  </si>
  <si>
    <t>27.07.2018 14:31:29</t>
  </si>
  <si>
    <t>27.07.2018 14:31:30</t>
  </si>
  <si>
    <t>27.07.2018 14:29:26</t>
  </si>
  <si>
    <t>27.07.2018 14:29:25</t>
  </si>
  <si>
    <t>27.07.2018 14:29:24</t>
  </si>
  <si>
    <t>27.07.2018 14:29:23</t>
  </si>
  <si>
    <t>Far</t>
  </si>
  <si>
    <t>27.07.2018 14:29:22</t>
  </si>
  <si>
    <t>27.07.2018 14:29:21</t>
  </si>
  <si>
    <t>27.07.2018 14:29:20</t>
  </si>
  <si>
    <t>27.07.2018 14:29:19</t>
  </si>
  <si>
    <t>27.07.2018 14:29:18</t>
  </si>
  <si>
    <t>27.07.2018 14:29:17</t>
  </si>
  <si>
    <t>27.07.2018 14:29:16</t>
  </si>
  <si>
    <t>27.07.2018 14:29:15</t>
  </si>
  <si>
    <t>27.07.2018 14:29:14</t>
  </si>
  <si>
    <t>27.07.2018 14:29:13</t>
  </si>
  <si>
    <t>27.07.2018 14:29:12</t>
  </si>
  <si>
    <t>27.07.2018 14:29:11</t>
  </si>
  <si>
    <t>27.07.2018 14:29:10</t>
  </si>
  <si>
    <t>27.07.2018 14:29:09</t>
  </si>
  <si>
    <t>27.07.2018 14:29:08</t>
  </si>
  <si>
    <t>27.07.2018 14:29:07</t>
  </si>
  <si>
    <t>27.07.2018 14:29:06</t>
  </si>
  <si>
    <t>27.07.2018 14:29:05</t>
  </si>
  <si>
    <t>27.07.2018 14:29:04</t>
  </si>
  <si>
    <t>27.07.2018 14:29:03</t>
  </si>
  <si>
    <t>27.07.2018 14:29:02</t>
  </si>
  <si>
    <t>27.07.2018 14:29:01</t>
  </si>
  <si>
    <t>27.07.2018 14:29:00</t>
  </si>
  <si>
    <t>27.07.2018 14:28:59</t>
  </si>
  <si>
    <t>27.07.2018 14:28:58</t>
  </si>
  <si>
    <t>27.07.2018 14:28:57</t>
  </si>
  <si>
    <t>27.07.2018 14:28:56</t>
  </si>
  <si>
    <t>27.07.2018 14:28:55</t>
  </si>
  <si>
    <t>27.07.2018 14:28:54</t>
  </si>
  <si>
    <t>27.07.2018 14:28:53</t>
  </si>
  <si>
    <t>27.07.2018 14:28:52</t>
  </si>
  <si>
    <t>27.07.2018 14:28:51</t>
  </si>
  <si>
    <t>27.07.2018 14:28:50</t>
  </si>
  <si>
    <t>27.07.2018 14:28:49</t>
  </si>
  <si>
    <t>27.07.2018 14:28:48</t>
  </si>
  <si>
    <t>27.07.2018 14:28:47</t>
  </si>
  <si>
    <t>27.07.2018 14:28:46</t>
  </si>
  <si>
    <t>27.07.2018 14:28:45</t>
  </si>
  <si>
    <t>27.07.2018 14:28:44</t>
  </si>
  <si>
    <t>27.07.2018 14:28:43</t>
  </si>
  <si>
    <t>27.07.2018 14:28:42</t>
  </si>
  <si>
    <t>27.07.2018 14:28:41</t>
  </si>
  <si>
    <t>27.07.2018 14:28:40</t>
  </si>
  <si>
    <t>27.07.2018 14:28:39</t>
  </si>
  <si>
    <t>27.07.2018 14:28:38</t>
  </si>
  <si>
    <t>27.07.2018 14:28:37</t>
  </si>
  <si>
    <t>27.07.2018 14:28:36</t>
  </si>
  <si>
    <t>27.07.2018 14:28:35</t>
  </si>
  <si>
    <t>27.07.2018 14:28:34</t>
  </si>
  <si>
    <t>27.07.2018 14:28:33</t>
  </si>
  <si>
    <t>27.07.2018 14:28:32</t>
  </si>
  <si>
    <t>27.07.2018 14:28:31</t>
  </si>
  <si>
    <t>27.07.2018 14:28:30</t>
  </si>
  <si>
    <t>27.07.2018 14:28:29</t>
  </si>
  <si>
    <t>27.07.2018 14:28:28</t>
  </si>
  <si>
    <t>27.07.2018 14:28:27</t>
  </si>
  <si>
    <t>27.07.2018 14:32:16</t>
  </si>
  <si>
    <t>27.07.2018 14:32:17</t>
  </si>
  <si>
    <t>27.07.2018 14:32:18</t>
  </si>
  <si>
    <t>27.07.2018 14:32:19</t>
  </si>
  <si>
    <t>27.07.2018 14:32:20</t>
  </si>
  <si>
    <t>27.07.2018 14:32:21</t>
  </si>
  <si>
    <t>27.07.2018 14:32:22</t>
  </si>
  <si>
    <t>27.07.2018 14:32:23</t>
  </si>
  <si>
    <t>27.07.2018 14:32:24</t>
  </si>
  <si>
    <t>27.07.2018 14:32:25</t>
  </si>
  <si>
    <t>27.07.2018 14:32:26</t>
  </si>
  <si>
    <t>27.07.2018 14:32:27</t>
  </si>
  <si>
    <t>27.07.2018 14:32:28</t>
  </si>
  <si>
    <t>27.07.2018 14:32:29</t>
  </si>
  <si>
    <t>27.07.2018 14:32:30</t>
  </si>
  <si>
    <t>27.07.2018 14:32:31</t>
  </si>
  <si>
    <t>27.07.2018 14:32:32</t>
  </si>
  <si>
    <t>27.07.2018 14:32:33</t>
  </si>
  <si>
    <t>27.07.2018 14:32:34</t>
  </si>
  <si>
    <t>27.07.2018 14:32:35</t>
  </si>
  <si>
    <t>27.07.2018 14:32:36</t>
  </si>
  <si>
    <t>27.07.2018 14:32:37</t>
  </si>
  <si>
    <t>27.07.2018 14:32:38</t>
  </si>
  <si>
    <t>27.07.2018 14:32:39</t>
  </si>
  <si>
    <t>27.07.2018 14:32:40</t>
  </si>
  <si>
    <t>27.07.2018 14:32:41</t>
  </si>
  <si>
    <t>27.07.2018 14:32:42</t>
  </si>
  <si>
    <t>27.07.2018 14:32:43</t>
  </si>
  <si>
    <t>27.07.2018 14:32:44</t>
  </si>
  <si>
    <t>27.07.2018 14:32:45</t>
  </si>
  <si>
    <t>27.07.2018 14:32:46</t>
  </si>
  <si>
    <t>27.07.2018 14:32:47</t>
  </si>
  <si>
    <t>27.07.2018 14:32:48</t>
  </si>
  <si>
    <t>27.07.2018 14:32:49</t>
  </si>
  <si>
    <t>27.07.2018 14:32:50</t>
  </si>
  <si>
    <t>27.07.2018 14:32:51</t>
  </si>
  <si>
    <t>27.07.2018 14:32:52</t>
  </si>
  <si>
    <t>27.07.2018 14:32:53</t>
  </si>
  <si>
    <t>27.07.2018 14:32:54</t>
  </si>
  <si>
    <t>27.07.2018 14:32:55</t>
  </si>
  <si>
    <t>27.07.2018 14:32:56</t>
  </si>
  <si>
    <t>27.07.2018 14:32:57</t>
  </si>
  <si>
    <t>27.07.2018 14:32:58</t>
  </si>
  <si>
    <t>27.07.2018 14:32:59</t>
  </si>
  <si>
    <t>27.07.2018 14:33:00</t>
  </si>
  <si>
    <t>27.07.2018 14:33:01</t>
  </si>
  <si>
    <t>27.07.2018 14:33:02</t>
  </si>
  <si>
    <t>27.07.2018 14:33:03</t>
  </si>
  <si>
    <t>27.07.2018 14:33:04</t>
  </si>
  <si>
    <t>27.07.2018 14:33:05</t>
  </si>
  <si>
    <t>27.07.2018 14:33:06</t>
  </si>
  <si>
    <t>27.07.2018 14:33:07</t>
  </si>
  <si>
    <t>27.07.2018 14:33:08</t>
  </si>
  <si>
    <t>27.07.2018 14:33:09</t>
  </si>
  <si>
    <t>27.07.2018 14:33:10</t>
  </si>
  <si>
    <t>27.07.2018 14:33:11</t>
  </si>
  <si>
    <t>27.07.2018 14:33:12</t>
  </si>
  <si>
    <t>27.07.2018 14:33:13</t>
  </si>
  <si>
    <t>27.07.2018 14:33:14</t>
  </si>
  <si>
    <t>27.07.2018 14:33:15</t>
  </si>
  <si>
    <t>Time</t>
  </si>
  <si>
    <t>Diffrence</t>
  </si>
  <si>
    <t>Notes</t>
  </si>
  <si>
    <t>Avarage RSSI 10004 Test 1</t>
  </si>
  <si>
    <t>Avarage RSSI 10004 Test 2</t>
  </si>
  <si>
    <t>Avarage RSSI 10004 Test 3</t>
  </si>
  <si>
    <t>Avarage RSSI 10005 Test 1</t>
  </si>
  <si>
    <t>Avarage RSSI 10005 Test 2</t>
  </si>
  <si>
    <t>Avarage RSSI 10005 Test 3</t>
  </si>
  <si>
    <t>Avarage RSSI 10006 Test 1</t>
  </si>
  <si>
    <t>Avarage RSSI 10006 Test 2</t>
  </si>
  <si>
    <t>Avarage RSSI 10006 Test 3</t>
  </si>
  <si>
    <t>30.07.2018 09:55:41</t>
  </si>
  <si>
    <t>30.07.2018 09:55:42</t>
  </si>
  <si>
    <t>30.07.2018 09:55:43</t>
  </si>
  <si>
    <t>30.07.2018 09:55:44</t>
  </si>
  <si>
    <t>30.07.2018 09:55:45</t>
  </si>
  <si>
    <t>30.07.2018 09:55:46</t>
  </si>
  <si>
    <t>30.07.2018 09:55:47</t>
  </si>
  <si>
    <t>30.07.2018 09:55:48</t>
  </si>
  <si>
    <t>30.07.2018 09:55:49</t>
  </si>
  <si>
    <t>30.07.2018 09:55:50</t>
  </si>
  <si>
    <t>30.07.2018 09:55:51</t>
  </si>
  <si>
    <t>30.07.2018 09:55:52</t>
  </si>
  <si>
    <t>30.07.2018 09:55:53</t>
  </si>
  <si>
    <t>30.07.2018 09:55:54</t>
  </si>
  <si>
    <t>30.07.2018 09:55:55</t>
  </si>
  <si>
    <t>30.07.2018 09:55:56</t>
  </si>
  <si>
    <t>30.07.2018 09:55:57</t>
  </si>
  <si>
    <t>30.07.2018 09:55:58</t>
  </si>
  <si>
    <t>30.07.2018 09:55:59</t>
  </si>
  <si>
    <t>30.07.2018 09:56:00</t>
  </si>
  <si>
    <t>30.07.2018 09:56:01</t>
  </si>
  <si>
    <t>30.07.2018 09:56:02</t>
  </si>
  <si>
    <t>30.07.2018 09:56:03</t>
  </si>
  <si>
    <t>30.07.2018 09:56:04</t>
  </si>
  <si>
    <t>30.07.2018 09:56:05</t>
  </si>
  <si>
    <t>30.07.2018 09:56:06</t>
  </si>
  <si>
    <t>30.07.2018 09:56:07</t>
  </si>
  <si>
    <t>30.07.2018 09:56:08</t>
  </si>
  <si>
    <t>30.07.2018 09:56:09</t>
  </si>
  <si>
    <t>30.07.2018 09:56:10</t>
  </si>
  <si>
    <t>30.07.2018 09:56:11</t>
  </si>
  <si>
    <t>30.07.2018 09:56:12</t>
  </si>
  <si>
    <t>30.07.2018 09:56:13</t>
  </si>
  <si>
    <t>30.07.2018 09:56:14</t>
  </si>
  <si>
    <t>30.07.2018 09:56:15</t>
  </si>
  <si>
    <t>30.07.2018 09:56:16</t>
  </si>
  <si>
    <t>30.07.2018 09:56:17</t>
  </si>
  <si>
    <t>30.07.2018 09:56:18</t>
  </si>
  <si>
    <t>30.07.2018 09:56:19</t>
  </si>
  <si>
    <t>30.07.2018 09:56:20</t>
  </si>
  <si>
    <t>30.07.2018 09:56:21</t>
  </si>
  <si>
    <t>30.07.2018 09:56:22</t>
  </si>
  <si>
    <t>30.07.2018 09:56:23</t>
  </si>
  <si>
    <t>30.07.2018 09:56:24</t>
  </si>
  <si>
    <t>30.07.2018 09:56:25</t>
  </si>
  <si>
    <t>30.07.2018 09:56:26</t>
  </si>
  <si>
    <t>30.07.2018 09:56:27</t>
  </si>
  <si>
    <t>30.07.2018 09:56:28</t>
  </si>
  <si>
    <t>30.07.2018 09:56:29</t>
  </si>
  <si>
    <t>30.07.2018 09:56:30</t>
  </si>
  <si>
    <t>30.07.2018 09:56:31</t>
  </si>
  <si>
    <t>30.07.2018 09:56:32</t>
  </si>
  <si>
    <t>30.07.2018 09:56:33</t>
  </si>
  <si>
    <t>30.07.2018 09:56:34</t>
  </si>
  <si>
    <t>30.07.2018 09:56:35</t>
  </si>
  <si>
    <t>30.07.2018 09:56:36</t>
  </si>
  <si>
    <t>30.07.2018 09:56:37</t>
  </si>
  <si>
    <t>30.07.2018 09:56:38</t>
  </si>
  <si>
    <t>30.07.2018 09:56:39</t>
  </si>
  <si>
    <t>30.07.2018 09:56:40</t>
  </si>
  <si>
    <t>30.07.2018 09:56:41</t>
  </si>
  <si>
    <t>30.07.2018 09:56:42</t>
  </si>
  <si>
    <t>30.07.2018 09:56:43</t>
  </si>
  <si>
    <t>30.07.2018 09:56:44</t>
  </si>
  <si>
    <t>30.07.2018 09:56:45</t>
  </si>
  <si>
    <t>30.07.2018 09:56:46</t>
  </si>
  <si>
    <t>30.07.2018 09:56:47</t>
  </si>
  <si>
    <t>30.07.2018 09:56:48</t>
  </si>
  <si>
    <t>30.07.2018 09:56:49</t>
  </si>
  <si>
    <t>30.07.2018 09:56:50</t>
  </si>
  <si>
    <t>30.07.2018 09:56:51</t>
  </si>
  <si>
    <t>30.07.2018 09:56:52</t>
  </si>
  <si>
    <t>30.07.2018 09:56:53</t>
  </si>
  <si>
    <t>30.07.2018 09:56:54</t>
  </si>
  <si>
    <t>30.07.2018 09:56:55</t>
  </si>
  <si>
    <t>30.07.2018 09:56:56</t>
  </si>
  <si>
    <t>30.07.2018 09:56:57</t>
  </si>
  <si>
    <t>30.07.2018 09:56:58</t>
  </si>
  <si>
    <t>30.07.2018 09:56:59</t>
  </si>
  <si>
    <t>30.07.2018 09:57:00</t>
  </si>
  <si>
    <t>30.07.2018 09:57:01</t>
  </si>
  <si>
    <t>30.07.2018 09:57:02</t>
  </si>
  <si>
    <t>30.07.2018 09:57:03</t>
  </si>
  <si>
    <t>30.07.2018 09:57:04</t>
  </si>
  <si>
    <t>30.07.2018 09:57:05</t>
  </si>
  <si>
    <t>30.07.2018 09:57:06</t>
  </si>
  <si>
    <t>30.07.2018 09:57:07</t>
  </si>
  <si>
    <t>30.07.2018 09:57:08</t>
  </si>
  <si>
    <t>30.07.2018 09:57:09</t>
  </si>
  <si>
    <t>30.07.2018 09:57:10</t>
  </si>
  <si>
    <t>30.07.2018 09:57:11</t>
  </si>
  <si>
    <t>30.07.2018 09:57:12</t>
  </si>
  <si>
    <t>30.07.2018 09:57:13</t>
  </si>
  <si>
    <t>30.07.2018 09:57:14</t>
  </si>
  <si>
    <t>30.07.2018 09:57:15</t>
  </si>
  <si>
    <t>30.07.2018 09:57:16</t>
  </si>
  <si>
    <t>30.07.2018 09:57:17</t>
  </si>
  <si>
    <t>30.07.2018 09:57:18</t>
  </si>
  <si>
    <t>30.07.2018 09:57:19</t>
  </si>
  <si>
    <t>30.07.2018 09:57:20</t>
  </si>
  <si>
    <t>30.07.2018 09:57:21</t>
  </si>
  <si>
    <t>30.07.2018 09:57:22</t>
  </si>
  <si>
    <t>30.07.2018 09:57:23</t>
  </si>
  <si>
    <t>30.07.2018 09:57:24</t>
  </si>
  <si>
    <t>30.07.2018 09:57:25</t>
  </si>
  <si>
    <t>30.07.2018 09:57:26</t>
  </si>
  <si>
    <t>30.07.2018 09:57:27</t>
  </si>
  <si>
    <t>30.07.2018 09:57:28</t>
  </si>
  <si>
    <t>30.07.2018 09:57:29</t>
  </si>
  <si>
    <t>30.07.2018 09:57:30</t>
  </si>
  <si>
    <t>30.07.2018 09:57:31</t>
  </si>
  <si>
    <t>30.07.2018 09:57:32</t>
  </si>
  <si>
    <t>30.07.2018 09:57:33</t>
  </si>
  <si>
    <t>30.07.2018 09:57:34</t>
  </si>
  <si>
    <t>30.07.2018 09:57:35</t>
  </si>
  <si>
    <t>30.07.2018 09:57:36</t>
  </si>
  <si>
    <t>30.07.2018 09:57:37</t>
  </si>
  <si>
    <t>30.07.2018 09:57:38</t>
  </si>
  <si>
    <t>30.07.2018 09:57:39</t>
  </si>
  <si>
    <t>Walk about Overview</t>
  </si>
  <si>
    <t>Beacon</t>
  </si>
  <si>
    <t>10s</t>
  </si>
  <si>
    <t>20s</t>
  </si>
  <si>
    <t>30s</t>
  </si>
  <si>
    <t>40s</t>
  </si>
  <si>
    <t>50s</t>
  </si>
  <si>
    <t>60s</t>
  </si>
  <si>
    <t>70s</t>
  </si>
  <si>
    <t>80s</t>
  </si>
  <si>
    <t>90s</t>
  </si>
  <si>
    <t>100s</t>
  </si>
  <si>
    <t>110s</t>
  </si>
  <si>
    <t>120s</t>
  </si>
  <si>
    <t>The main premices of the test has been kept the same however this test will be run for 120 seconds and will invole me moving from beacon to beacon as if I was looking at the exibhits and wondering around them getting a kinda simulated results. I started the reading at the first beacon 1004 which is represented by the blue line on the graph were I spent aproxamly 34 seconds there before moving to the next beacon 1005 which is represented by the orange line which I spent about 45 seconds by before moving onto the final beacon 10006 which is represented by the gray line, which I remained at for the remaing time. The spikes in the test are expected as I simulated someone trying to get a better signal my moving their phone closer and then back again to see how the small change in location could improve the RSSI readings. Besides the spikes of the attempt to get better signal I kept the phone close to my waste where moste people keep it when viewing a phone in a relaxed situation.</t>
  </si>
  <si>
    <t>All 10004 Overview</t>
  </si>
  <si>
    <t>All 10005 Overview</t>
  </si>
  <si>
    <t>All 10006 Overview</t>
  </si>
  <si>
    <t>10004 Test</t>
  </si>
  <si>
    <t>10005 Test</t>
  </si>
  <si>
    <t>10006 Test</t>
  </si>
  <si>
    <t>Avarage RSSI 10004</t>
  </si>
  <si>
    <t>Avarage RSSI 10005</t>
  </si>
  <si>
    <t>Avarage RSSI 10006</t>
  </si>
  <si>
    <t>Avarage difference</t>
  </si>
  <si>
    <t>For this test I was focusing only on close up reading of the 10004 beacon and to see how well the RSSI values were received and how strong the additional beacon was being read. The test was setup with the beacon being setup 2.24m apart and with the furthest beacon 10006 being 4.48m apart from 10004. The test consisted of 60 seconds of scanning from a stationary position and recording the received power readings for that set period of time. The Lines on the graph represent the 3 beacons and the difference between the highest and lowest signals received. 10004 is represented by the Blue line, 10005 is represented by the orange line, 10006 is represented by the grey line and the difference is represented by the yellow line.</t>
  </si>
  <si>
    <t>For this test I was focusing only on close up reading of the 10005 beacon and to see how well the RSSI values were received and how strong the additional beacon was being read. The test was setup with the beacon being setup 2.24m apart and with this beacon being setup in the middle allowing the distance being equal on both sides of it. The test consisted of 60 seconds of scanning from a stationary position and recording the received power readings for that set period of time. The Lines on the graph represent the 3 beacons and the difference between the highest and lowest signals received. 10004 is represented by the Blue line, 10005 is represented by the orange line, 10006 is represented by the grey line and the difference is represented by the yellow line.</t>
  </si>
  <si>
    <t>For this test I was focusing only on close up reading of the 10006 beacon and to see how well the RSSI values were received and how strong the additional beacon was being read. The test was setup with the beacon being setup 2.24m apart and with the furthest beacon 10004 being 4.48m apart from 10006. The test consisted of 60 seconds of scanning from a stationary position and recording the received power readings for that set period of time. The Lines on the graph represent the 3 beacons and the difference between the highest and lowest signals received. 10004 is represented by the Blue line, 10005 is represented by the orange line, 10006 is represented by the grey line and the difference is represented by the yellow line.</t>
  </si>
  <si>
    <t>Notes ------&gt;</t>
  </si>
  <si>
    <t xml:space="preserve">10004 was the first beacon on the line of testing each beacon with the distance of 2.24m appart with the first and last beacon 10006 being 4.48m appart from 10004. The test consited of 60 seconds of scaning from a stationary posstion and recording the recived power readings for that set period of time. Each graph repersents the readings recived for each reading from all three tests. The first test is represented with a blue line on each of the graphs, second line is represented orange and the third being represented by gray.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</si>
</sst>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8"/>
      <color theme="1"/>
      <name val="Calibri"/>
      <family val="2"/>
      <scheme val="minor"/>
    </font>
    <font>
      <sz val="24"/>
      <color theme="0"/>
      <name val="Calibri"/>
      <family val="2"/>
      <scheme val="minor"/>
    </font>
    <font>
      <sz val="12"/>
      <color theme="4"/>
      <name val="Calibri"/>
      <family val="2"/>
      <scheme val="minor"/>
    </font>
    <font>
      <sz val="12"/>
      <color theme="5"/>
      <name val="Calibri"/>
      <family val="2"/>
      <scheme val="minor"/>
    </font>
    <font>
      <sz val="12"/>
      <color theme="0" tint="-0.249977111117893"/>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theme="1"/>
        <bgColor indexed="64"/>
      </patternFill>
    </fill>
    <fill>
      <patternFill patternType="solid">
        <fgColor theme="0"/>
        <bgColor indexed="64"/>
      </patternFill>
    </fill>
  </fills>
  <borders count="3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diagonal/>
    </border>
    <border>
      <left/>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4">
    <xf numFmtId="0" fontId="0" fillId="0" borderId="0" xfId="0"/>
    <xf numFmtId="0" fontId="0" fillId="0" borderId="0" xfId="0" applyBorder="1" applyAlignment="1">
      <alignment vertical="top" wrapText="1"/>
    </xf>
    <xf numFmtId="0" fontId="0" fillId="0" borderId="0" xfId="0" applyBorder="1" applyAlignment="1">
      <alignment vertical="top"/>
    </xf>
    <xf numFmtId="0" fontId="19" fillId="0" borderId="0" xfId="0" applyFont="1" applyFill="1" applyBorder="1" applyAlignment="1">
      <alignment vertical="center"/>
    </xf>
    <xf numFmtId="0" fontId="0" fillId="0" borderId="0" xfId="0" applyFill="1" applyBorder="1" applyAlignment="1">
      <alignment vertical="top"/>
    </xf>
    <xf numFmtId="0" fontId="0" fillId="0" borderId="0" xfId="0" applyFill="1" applyBorder="1"/>
    <xf numFmtId="2" fontId="0" fillId="0" borderId="10" xfId="0" applyNumberFormat="1" applyBorder="1" applyAlignment="1">
      <alignment horizontal="left" vertical="top" wrapText="1"/>
    </xf>
    <xf numFmtId="0" fontId="17" fillId="0" borderId="0" xfId="0" applyFont="1" applyFill="1" applyBorder="1" applyAlignment="1">
      <alignment horizontal="left" vertical="top" wrapText="1"/>
    </xf>
    <xf numFmtId="2" fontId="0" fillId="0" borderId="17" xfId="0" applyNumberFormat="1" applyBorder="1" applyAlignment="1">
      <alignment horizontal="left" vertical="top" wrapText="1"/>
    </xf>
    <xf numFmtId="0" fontId="0" fillId="0" borderId="13" xfId="0" applyBorder="1" applyAlignment="1">
      <alignment horizontal="left" vertical="top" wrapText="1"/>
    </xf>
    <xf numFmtId="2" fontId="0" fillId="0" borderId="15" xfId="0" applyNumberFormat="1" applyBorder="1" applyAlignment="1">
      <alignment horizontal="left" vertical="top" wrapText="1"/>
    </xf>
    <xf numFmtId="2" fontId="0" fillId="0" borderId="18" xfId="0" applyNumberFormat="1" applyBorder="1" applyAlignment="1">
      <alignment horizontal="left" vertical="top" wrapText="1"/>
    </xf>
    <xf numFmtId="0" fontId="20" fillId="34" borderId="12" xfId="0" applyFont="1" applyFill="1" applyBorder="1" applyAlignment="1">
      <alignment horizontal="left" vertical="top" wrapText="1"/>
    </xf>
    <xf numFmtId="0" fontId="21" fillId="34" borderId="12" xfId="0" applyFont="1" applyFill="1" applyBorder="1" applyAlignment="1">
      <alignment horizontal="left" vertical="top" wrapText="1"/>
    </xf>
    <xf numFmtId="0" fontId="22" fillId="34" borderId="13" xfId="0" applyFont="1" applyFill="1" applyBorder="1" applyAlignment="1">
      <alignment horizontal="left" vertical="top" wrapText="1"/>
    </xf>
    <xf numFmtId="0" fontId="17" fillId="33" borderId="26" xfId="0" applyFont="1" applyFill="1" applyBorder="1" applyAlignment="1">
      <alignment horizontal="left" vertical="top" wrapText="1"/>
    </xf>
    <xf numFmtId="0" fontId="17" fillId="33" borderId="27" xfId="0" applyFont="1" applyFill="1" applyBorder="1" applyAlignment="1">
      <alignment horizontal="left" vertical="top" wrapText="1"/>
    </xf>
    <xf numFmtId="0" fontId="19" fillId="33" borderId="11" xfId="0" applyFont="1" applyFill="1" applyBorder="1" applyAlignment="1">
      <alignment horizontal="center" vertical="center"/>
    </xf>
    <xf numFmtId="0" fontId="19" fillId="33" borderId="12" xfId="0" applyFont="1" applyFill="1" applyBorder="1" applyAlignment="1">
      <alignment horizontal="center" vertical="center"/>
    </xf>
    <xf numFmtId="0" fontId="19" fillId="33" borderId="13" xfId="0" applyFont="1" applyFill="1" applyBorder="1" applyAlignment="1">
      <alignment horizontal="center" vertical="center"/>
    </xf>
    <xf numFmtId="0" fontId="19" fillId="33" borderId="14" xfId="0" applyFont="1" applyFill="1" applyBorder="1" applyAlignment="1">
      <alignment horizontal="center" vertical="center"/>
    </xf>
    <xf numFmtId="0" fontId="19" fillId="33" borderId="10" xfId="0" applyFont="1" applyFill="1" applyBorder="1" applyAlignment="1">
      <alignment horizontal="center" vertical="center"/>
    </xf>
    <xf numFmtId="0" fontId="19" fillId="33" borderId="15" xfId="0" applyFont="1" applyFill="1" applyBorder="1" applyAlignment="1">
      <alignment horizontal="center" vertical="center"/>
    </xf>
    <xf numFmtId="0" fontId="0" fillId="0" borderId="14" xfId="0" applyBorder="1" applyAlignment="1">
      <alignment horizontal="left" vertical="top" wrapText="1"/>
    </xf>
    <xf numFmtId="0" fontId="0" fillId="0" borderId="10"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17" fillId="33" borderId="29" xfId="0" applyFont="1" applyFill="1" applyBorder="1" applyAlignment="1">
      <alignment horizontal="left" vertical="top" wrapText="1"/>
    </xf>
    <xf numFmtId="0" fontId="17" fillId="33" borderId="30" xfId="0" applyFont="1" applyFill="1" applyBorder="1" applyAlignment="1">
      <alignment horizontal="left" vertical="top" wrapText="1"/>
    </xf>
    <xf numFmtId="0" fontId="17" fillId="33" borderId="25" xfId="0" applyFont="1" applyFill="1" applyBorder="1" applyAlignment="1">
      <alignment horizontal="left" vertical="top" wrapText="1"/>
    </xf>
    <xf numFmtId="0" fontId="17" fillId="33" borderId="28" xfId="0" applyFont="1" applyFill="1" applyBorder="1" applyAlignment="1">
      <alignment horizontal="left" vertical="top" wrapText="1"/>
    </xf>
    <xf numFmtId="0" fontId="17" fillId="33" borderId="16" xfId="0" applyFont="1" applyFill="1" applyBorder="1" applyAlignment="1">
      <alignment horizontal="left" vertical="top" wrapText="1"/>
    </xf>
    <xf numFmtId="0" fontId="17" fillId="33" borderId="17" xfId="0" applyFont="1" applyFill="1" applyBorder="1" applyAlignment="1">
      <alignment horizontal="left" vertical="top" wrapText="1"/>
    </xf>
    <xf numFmtId="0" fontId="18" fillId="0" borderId="0" xfId="0" applyFont="1" applyAlignment="1">
      <alignment horizontal="center" vertical="center"/>
    </xf>
    <xf numFmtId="0" fontId="17" fillId="33" borderId="11" xfId="0" applyFont="1" applyFill="1" applyBorder="1" applyAlignment="1">
      <alignment horizontal="left" vertical="top" wrapText="1"/>
    </xf>
    <xf numFmtId="0" fontId="17" fillId="33" borderId="12" xfId="0" applyFont="1" applyFill="1" applyBorder="1" applyAlignment="1">
      <alignment horizontal="left" vertical="top" wrapText="1"/>
    </xf>
    <xf numFmtId="0" fontId="17" fillId="33" borderId="14" xfId="0" applyFont="1" applyFill="1" applyBorder="1" applyAlignment="1">
      <alignment horizontal="left" vertical="top" wrapText="1"/>
    </xf>
    <xf numFmtId="0" fontId="17" fillId="33" borderId="10" xfId="0" applyFont="1" applyFill="1" applyBorder="1" applyAlignment="1">
      <alignment horizontal="left" vertical="top" wrapText="1"/>
    </xf>
    <xf numFmtId="0" fontId="18" fillId="0" borderId="19" xfId="0" applyFont="1" applyBorder="1" applyAlignment="1">
      <alignment horizontal="center" vertical="center"/>
    </xf>
    <xf numFmtId="0" fontId="18" fillId="0" borderId="20" xfId="0" applyFont="1" applyBorder="1" applyAlignment="1">
      <alignment horizontal="center" vertical="center"/>
    </xf>
    <xf numFmtId="0" fontId="18" fillId="0" borderId="23" xfId="0" applyFont="1" applyBorder="1" applyAlignment="1">
      <alignment horizontal="center" vertical="center"/>
    </xf>
    <xf numFmtId="0" fontId="18" fillId="0" borderId="24" xfId="0" applyFont="1" applyBorder="1" applyAlignment="1">
      <alignment horizontal="center" vertical="center"/>
    </xf>
    <xf numFmtId="2" fontId="0" fillId="0" borderId="13" xfId="0" applyNumberFormat="1" applyBorder="1"/>
    <xf numFmtId="2" fontId="0" fillId="0" borderId="15" xfId="0" applyNumberFormat="1" applyBorder="1"/>
    <xf numFmtId="2" fontId="0" fillId="0" borderId="18" xfId="0" applyNumberFormat="1" applyBorder="1"/>
    <xf numFmtId="2" fontId="0" fillId="0" borderId="0" xfId="0" applyNumberFormat="1" applyFill="1" applyBorder="1"/>
    <xf numFmtId="0" fontId="17" fillId="0" borderId="0" xfId="0" applyFont="1" applyFill="1" applyBorder="1" applyAlignment="1">
      <alignment vertical="top" wrapText="1"/>
    </xf>
    <xf numFmtId="0" fontId="17" fillId="33" borderId="11" xfId="0" applyFont="1" applyFill="1" applyBorder="1" applyAlignment="1">
      <alignment vertical="top" wrapText="1"/>
    </xf>
    <xf numFmtId="0" fontId="17" fillId="33" borderId="12" xfId="0" applyFont="1" applyFill="1" applyBorder="1" applyAlignment="1">
      <alignment vertical="top" wrapText="1"/>
    </xf>
    <xf numFmtId="0" fontId="17" fillId="33" borderId="14" xfId="0" applyFont="1" applyFill="1" applyBorder="1" applyAlignment="1">
      <alignment vertical="top" wrapText="1"/>
    </xf>
    <xf numFmtId="0" fontId="17" fillId="33" borderId="10" xfId="0" applyFont="1" applyFill="1" applyBorder="1" applyAlignment="1">
      <alignment vertical="top" wrapText="1"/>
    </xf>
    <xf numFmtId="0" fontId="17" fillId="33" borderId="16" xfId="0" applyFont="1" applyFill="1" applyBorder="1" applyAlignment="1">
      <alignment vertical="top" wrapText="1"/>
    </xf>
    <xf numFmtId="0" fontId="17" fillId="33" borderId="17" xfId="0" applyFont="1" applyFill="1" applyBorder="1" applyAlignment="1">
      <alignment vertical="top" wrapText="1"/>
    </xf>
    <xf numFmtId="0" fontId="0" fillId="0" borderId="21" xfId="0" applyBorder="1" applyAlignment="1">
      <alignment horizontal="left" vertical="top" wrapText="1"/>
    </xf>
    <xf numFmtId="0" fontId="0" fillId="0" borderId="0" xfId="0" applyBorder="1" applyAlignment="1">
      <alignment horizontal="left" vertical="top" wrapText="1"/>
    </xf>
    <xf numFmtId="0" fontId="0" fillId="0" borderId="22" xfId="0" applyBorder="1" applyAlignment="1">
      <alignment horizontal="left" vertical="top" wrapText="1"/>
    </xf>
    <xf numFmtId="0" fontId="19" fillId="33" borderId="0" xfId="0" applyFont="1" applyFill="1" applyBorder="1" applyAlignment="1">
      <alignment horizontal="center" vertical="center"/>
    </xf>
    <xf numFmtId="0" fontId="19" fillId="33" borderId="19" xfId="0" applyFont="1" applyFill="1" applyBorder="1" applyAlignment="1">
      <alignment horizontal="center" vertical="center"/>
    </xf>
    <xf numFmtId="0" fontId="19" fillId="33" borderId="31" xfId="0" applyFont="1" applyFill="1" applyBorder="1" applyAlignment="1">
      <alignment horizontal="center" vertical="center"/>
    </xf>
    <xf numFmtId="0" fontId="19" fillId="33" borderId="20" xfId="0" applyFont="1" applyFill="1" applyBorder="1" applyAlignment="1">
      <alignment horizontal="center" vertical="center"/>
    </xf>
    <xf numFmtId="0" fontId="19" fillId="33" borderId="21" xfId="0" applyFont="1" applyFill="1" applyBorder="1" applyAlignment="1">
      <alignment horizontal="center" vertical="center"/>
    </xf>
    <xf numFmtId="0" fontId="19" fillId="33" borderId="22" xfId="0" applyFont="1" applyFill="1" applyBorder="1" applyAlignment="1">
      <alignment horizontal="center" vertical="center"/>
    </xf>
    <xf numFmtId="0" fontId="0" fillId="0" borderId="23" xfId="0" applyBorder="1" applyAlignment="1">
      <alignment horizontal="left" vertical="top" wrapText="1"/>
    </xf>
    <xf numFmtId="0" fontId="0" fillId="0" borderId="32" xfId="0" applyBorder="1" applyAlignment="1">
      <alignment horizontal="left" vertical="top" wrapText="1"/>
    </xf>
    <xf numFmtId="0" fontId="0" fillId="0" borderId="24" xfId="0" applyBorder="1" applyAlignment="1">
      <alignment horizontal="left" vertical="top" wrapText="1"/>
    </xf>
    <xf numFmtId="0" fontId="17" fillId="35" borderId="21" xfId="0" applyFont="1" applyFill="1" applyBorder="1" applyAlignment="1">
      <alignment horizontal="left" vertical="top" wrapText="1"/>
    </xf>
    <xf numFmtId="0" fontId="17" fillId="35" borderId="0" xfId="0" applyFont="1" applyFill="1" applyBorder="1" applyAlignment="1">
      <alignment horizontal="left" vertical="top" wrapText="1"/>
    </xf>
    <xf numFmtId="0" fontId="0" fillId="35" borderId="22" xfId="0" applyFill="1" applyBorder="1" applyAlignment="1">
      <alignment horizontal="left" vertical="top" wrapText="1"/>
    </xf>
    <xf numFmtId="2" fontId="0" fillId="35" borderId="22" xfId="0" applyNumberFormat="1" applyFill="1" applyBorder="1" applyAlignment="1">
      <alignment horizontal="left" vertical="top" wrapText="1"/>
    </xf>
    <xf numFmtId="0" fontId="19" fillId="33" borderId="23" xfId="0" applyFont="1" applyFill="1" applyBorder="1" applyAlignment="1">
      <alignment horizontal="center" vertical="center"/>
    </xf>
    <xf numFmtId="0" fontId="19" fillId="33" borderId="32" xfId="0" applyFont="1" applyFill="1" applyBorder="1" applyAlignment="1">
      <alignment horizontal="center" vertical="center"/>
    </xf>
    <xf numFmtId="0" fontId="19" fillId="33" borderId="24" xfId="0" applyFont="1" applyFill="1"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10004 Exhibit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'10004 Exhibit'!$K$1</c:f>
              <c:strCache>
                <c:ptCount val="1"/>
                <c:pt idx="0">
                  <c:v>10004</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'10004 Exhibit'!$K$3:$K$62</c:f>
              <c:numCache>
                <c:formatCode>General</c:formatCode>
                <c:ptCount val="60"/>
                <c:pt idx="0">
                  <c:v>-49</c:v>
                </c:pt>
                <c:pt idx="1">
                  <c:v>-50</c:v>
                </c:pt>
                <c:pt idx="2">
                  <c:v>-50</c:v>
                </c:pt>
                <c:pt idx="3">
                  <c:v>-49</c:v>
                </c:pt>
                <c:pt idx="4">
                  <c:v>-49</c:v>
                </c:pt>
                <c:pt idx="5">
                  <c:v>-49</c:v>
                </c:pt>
                <c:pt idx="6">
                  <c:v>-49</c:v>
                </c:pt>
                <c:pt idx="7">
                  <c:v>-49</c:v>
                </c:pt>
                <c:pt idx="8">
                  <c:v>-49</c:v>
                </c:pt>
                <c:pt idx="9">
                  <c:v>-49</c:v>
                </c:pt>
                <c:pt idx="10">
                  <c:v>-49</c:v>
                </c:pt>
                <c:pt idx="11">
                  <c:v>-49</c:v>
                </c:pt>
                <c:pt idx="12">
                  <c:v>-49</c:v>
                </c:pt>
                <c:pt idx="13">
                  <c:v>-49</c:v>
                </c:pt>
                <c:pt idx="14">
                  <c:v>-49</c:v>
                </c:pt>
                <c:pt idx="16">
                  <c:v>-49</c:v>
                </c:pt>
                <c:pt idx="17">
                  <c:v>-49</c:v>
                </c:pt>
                <c:pt idx="18">
                  <c:v>-49</c:v>
                </c:pt>
                <c:pt idx="19">
                  <c:v>-49</c:v>
                </c:pt>
                <c:pt idx="21">
                  <c:v>-49</c:v>
                </c:pt>
                <c:pt idx="22">
                  <c:v>-49</c:v>
                </c:pt>
                <c:pt idx="23">
                  <c:v>-49</c:v>
                </c:pt>
                <c:pt idx="24">
                  <c:v>-49</c:v>
                </c:pt>
                <c:pt idx="25">
                  <c:v>-49</c:v>
                </c:pt>
                <c:pt idx="26">
                  <c:v>-49</c:v>
                </c:pt>
                <c:pt idx="27">
                  <c:v>-49</c:v>
                </c:pt>
                <c:pt idx="28">
                  <c:v>-49</c:v>
                </c:pt>
                <c:pt idx="29">
                  <c:v>-49</c:v>
                </c:pt>
                <c:pt idx="30">
                  <c:v>-49</c:v>
                </c:pt>
                <c:pt idx="31">
                  <c:v>-49</c:v>
                </c:pt>
                <c:pt idx="32">
                  <c:v>-48</c:v>
                </c:pt>
                <c:pt idx="33">
                  <c:v>-49</c:v>
                </c:pt>
                <c:pt idx="34">
                  <c:v>-49</c:v>
                </c:pt>
                <c:pt idx="35">
                  <c:v>-49</c:v>
                </c:pt>
                <c:pt idx="36">
                  <c:v>-49</c:v>
                </c:pt>
                <c:pt idx="37">
                  <c:v>-48</c:v>
                </c:pt>
                <c:pt idx="38">
                  <c:v>-49</c:v>
                </c:pt>
                <c:pt idx="39">
                  <c:v>-49</c:v>
                </c:pt>
                <c:pt idx="40">
                  <c:v>-49</c:v>
                </c:pt>
                <c:pt idx="41">
                  <c:v>-49</c:v>
                </c:pt>
                <c:pt idx="42">
                  <c:v>-49</c:v>
                </c:pt>
                <c:pt idx="43">
                  <c:v>-49</c:v>
                </c:pt>
                <c:pt idx="44">
                  <c:v>-49</c:v>
                </c:pt>
                <c:pt idx="45">
                  <c:v>-49</c:v>
                </c:pt>
                <c:pt idx="46">
                  <c:v>-49</c:v>
                </c:pt>
                <c:pt idx="47">
                  <c:v>-49</c:v>
                </c:pt>
                <c:pt idx="48">
                  <c:v>-49</c:v>
                </c:pt>
                <c:pt idx="49">
                  <c:v>-49</c:v>
                </c:pt>
                <c:pt idx="50">
                  <c:v>-49</c:v>
                </c:pt>
                <c:pt idx="51">
                  <c:v>-49</c:v>
                </c:pt>
                <c:pt idx="52">
                  <c:v>-49</c:v>
                </c:pt>
                <c:pt idx="54">
                  <c:v>-49</c:v>
                </c:pt>
                <c:pt idx="55">
                  <c:v>-49</c:v>
                </c:pt>
                <c:pt idx="56">
                  <c:v>-49</c:v>
                </c:pt>
                <c:pt idx="57">
                  <c:v>-49</c:v>
                </c:pt>
                <c:pt idx="58">
                  <c:v>-49</c:v>
                </c:pt>
                <c:pt idx="59">
                  <c:v>-49</c:v>
                </c:pt>
              </c:numCache>
            </c:numRef>
          </c:val>
          <c:smooth val="0"/>
          <c:extLst>
            <c:ext xmlns:c16="http://schemas.microsoft.com/office/drawing/2014/chart" uri="{C3380CC4-5D6E-409C-BE32-E72D297353CC}">
              <c16:uniqueId val="{00000000-BAA6-3148-8957-45E646860F5C}"/>
            </c:ext>
          </c:extLst>
        </c:ser>
        <c:ser>
          <c:idx val="1"/>
          <c:order val="1"/>
          <c:tx>
            <c:strRef>
              <c:f>'10004 Exhibit'!$L$1</c:f>
              <c:strCache>
                <c:ptCount val="1"/>
                <c:pt idx="0">
                  <c:v>10005</c:v>
                </c:pt>
              </c:strCache>
            </c:strRef>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'10004 Exhibit'!$L$3:$L$62</c:f>
              <c:numCache>
                <c:formatCode>General</c:formatCode>
                <c:ptCount val="60"/>
                <c:pt idx="1">
                  <c:v>-92</c:v>
                </c:pt>
                <c:pt idx="2">
                  <c:v>-92</c:v>
                </c:pt>
                <c:pt idx="4">
                  <c:v>-91</c:v>
                </c:pt>
                <c:pt idx="5">
                  <c:v>-87</c:v>
                </c:pt>
                <c:pt idx="6">
                  <c:v>-93</c:v>
                </c:pt>
                <c:pt idx="7">
                  <c:v>-87</c:v>
                </c:pt>
                <c:pt idx="8">
                  <c:v>-85</c:v>
                </c:pt>
                <c:pt idx="9">
                  <c:v>-86</c:v>
                </c:pt>
                <c:pt idx="12">
                  <c:v>-85</c:v>
                </c:pt>
                <c:pt idx="13">
                  <c:v>-88</c:v>
                </c:pt>
                <c:pt idx="14">
                  <c:v>-86</c:v>
                </c:pt>
                <c:pt idx="15">
                  <c:v>-85</c:v>
                </c:pt>
                <c:pt idx="16">
                  <c:v>-87</c:v>
                </c:pt>
                <c:pt idx="17">
                  <c:v>-87</c:v>
                </c:pt>
                <c:pt idx="18">
                  <c:v>-86</c:v>
                </c:pt>
                <c:pt idx="19">
                  <c:v>-86</c:v>
                </c:pt>
                <c:pt idx="20">
                  <c:v>-86</c:v>
                </c:pt>
                <c:pt idx="21">
                  <c:v>-86</c:v>
                </c:pt>
                <c:pt idx="23">
                  <c:v>-94</c:v>
                </c:pt>
                <c:pt idx="24">
                  <c:v>-88</c:v>
                </c:pt>
                <c:pt idx="25">
                  <c:v>-86</c:v>
                </c:pt>
                <c:pt idx="29">
                  <c:v>-86</c:v>
                </c:pt>
                <c:pt idx="30">
                  <c:v>-93</c:v>
                </c:pt>
                <c:pt idx="31">
                  <c:v>-85</c:v>
                </c:pt>
                <c:pt idx="33">
                  <c:v>-87</c:v>
                </c:pt>
                <c:pt idx="34">
                  <c:v>-93</c:v>
                </c:pt>
                <c:pt idx="35">
                  <c:v>-85</c:v>
                </c:pt>
                <c:pt idx="37">
                  <c:v>-85</c:v>
                </c:pt>
                <c:pt idx="38">
                  <c:v>-85</c:v>
                </c:pt>
                <c:pt idx="40">
                  <c:v>-93</c:v>
                </c:pt>
                <c:pt idx="41">
                  <c:v>-86</c:v>
                </c:pt>
                <c:pt idx="42">
                  <c:v>-85</c:v>
                </c:pt>
                <c:pt idx="43">
                  <c:v>-87</c:v>
                </c:pt>
                <c:pt idx="44">
                  <c:v>-93</c:v>
                </c:pt>
                <c:pt idx="45">
                  <c:v>-86</c:v>
                </c:pt>
                <c:pt idx="46">
                  <c:v>-86</c:v>
                </c:pt>
                <c:pt idx="47">
                  <c:v>-88</c:v>
                </c:pt>
                <c:pt idx="48">
                  <c:v>-87</c:v>
                </c:pt>
                <c:pt idx="49">
                  <c:v>-93</c:v>
                </c:pt>
                <c:pt idx="51">
                  <c:v>-91</c:v>
                </c:pt>
                <c:pt idx="52">
                  <c:v>-86</c:v>
                </c:pt>
                <c:pt idx="54">
                  <c:v>-85</c:v>
                </c:pt>
                <c:pt idx="57">
                  <c:v>-87</c:v>
                </c:pt>
                <c:pt idx="58">
                  <c:v>-86</c:v>
                </c:pt>
                <c:pt idx="59">
                  <c:v>-87</c:v>
                </c:pt>
              </c:numCache>
            </c:numRef>
          </c:val>
          <c:smooth val="0"/>
          <c:extLst>
            <c:ext xmlns:c16="http://schemas.microsoft.com/office/drawing/2014/chart" uri="{C3380CC4-5D6E-409C-BE32-E72D297353CC}">
              <c16:uniqueId val="{00000001-BAA6-3148-8957-45E646860F5C}"/>
            </c:ext>
          </c:extLst>
        </c:ser>
        <c:ser>
          <c:idx val="2"/>
          <c:order val="2"/>
          <c:tx>
            <c:strRef>
              <c:f>'10004 Exhibit'!$M$1</c:f>
              <c:strCache>
                <c:ptCount val="1"/>
                <c:pt idx="0">
                  <c:v>10006</c:v>
                </c:pt>
              </c:strCache>
            </c:strRef>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'10004 Exhibit'!$M$3:$M$62</c:f>
              <c:numCache>
                <c:formatCode>General</c:formatCode>
                <c:ptCount val="60"/>
                <c:pt idx="1">
                  <c:v>-94</c:v>
                </c:pt>
                <c:pt idx="4">
                  <c:v>-96</c:v>
                </c:pt>
                <c:pt idx="5">
                  <c:v>-96</c:v>
                </c:pt>
                <c:pt idx="19">
                  <c:v>-98</c:v>
                </c:pt>
                <c:pt idx="21">
                  <c:v>-96</c:v>
                </c:pt>
                <c:pt idx="28">
                  <c:v>-94</c:v>
                </c:pt>
                <c:pt idx="29">
                  <c:v>-94</c:v>
                </c:pt>
                <c:pt idx="38">
                  <c:v>-91</c:v>
                </c:pt>
                <c:pt idx="44">
                  <c:v>-97</c:v>
                </c:pt>
                <c:pt idx="45">
                  <c:v>-97</c:v>
                </c:pt>
                <c:pt idx="48">
                  <c:v>-96</c:v>
                </c:pt>
                <c:pt idx="49">
                  <c:v>-94</c:v>
                </c:pt>
                <c:pt idx="50">
                  <c:v>-93</c:v>
                </c:pt>
                <c:pt idx="51">
                  <c:v>-94</c:v>
                </c:pt>
                <c:pt idx="52">
                  <c:v>-94</c:v>
                </c:pt>
                <c:pt idx="55">
                  <c:v>-93</c:v>
                </c:pt>
                <c:pt idx="59">
                  <c:v>-94</c:v>
                </c:pt>
              </c:numCache>
            </c:numRef>
          </c:val>
          <c:smooth val="0"/>
          <c:extLst>
            <c:ext xmlns:c16="http://schemas.microsoft.com/office/drawing/2014/chart" uri="{C3380CC4-5D6E-409C-BE32-E72D297353CC}">
              <c16:uniqueId val="{00000002-BAA6-3148-8957-45E646860F5C}"/>
            </c:ext>
          </c:extLst>
        </c:ser>
        <c:ser>
          <c:idx val="3"/>
          <c:order val="3"/>
          <c:tx>
            <c:strRef>
              <c:f>'10004 Exhibit'!$O$1</c:f>
              <c:strCache>
                <c:ptCount val="1"/>
                <c:pt idx="0">
                  <c:v>Diffrence</c:v>
                </c:pt>
              </c:strCache>
            </c:strRef>
          </c:tx>
          <c:spPr>
            <a:ln w="22225" cap="rnd">
              <a:solidFill>
                <a:schemeClr val="accent4"/>
              </a:solidFill>
            </a:ln>
            <a:effectLst>
              <a:glow rad="139700">
                <a:schemeClr val="accent4">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'10004 Exhibit'!$O$3:$O$62</c:f>
              <c:numCache>
                <c:formatCode>General</c:formatCode>
                <c:ptCount val="60"/>
                <c:pt idx="0">
                  <c:v>49</c:v>
                </c:pt>
                <c:pt idx="1">
                  <c:v>42</c:v>
                </c:pt>
                <c:pt idx="2">
                  <c:v>42</c:v>
                </c:pt>
                <c:pt idx="3">
                  <c:v>49</c:v>
                </c:pt>
                <c:pt idx="4">
                  <c:v>42</c:v>
                </c:pt>
                <c:pt idx="5">
                  <c:v>38</c:v>
                </c:pt>
                <c:pt idx="6">
                  <c:v>44</c:v>
                </c:pt>
                <c:pt idx="7">
                  <c:v>38</c:v>
                </c:pt>
                <c:pt idx="8">
                  <c:v>36</c:v>
                </c:pt>
                <c:pt idx="9">
                  <c:v>37</c:v>
                </c:pt>
                <c:pt idx="10">
                  <c:v>49</c:v>
                </c:pt>
                <c:pt idx="11">
                  <c:v>49</c:v>
                </c:pt>
                <c:pt idx="12">
                  <c:v>36</c:v>
                </c:pt>
                <c:pt idx="13">
                  <c:v>39</c:v>
                </c:pt>
                <c:pt idx="14">
                  <c:v>37</c:v>
                </c:pt>
                <c:pt idx="16">
                  <c:v>38</c:v>
                </c:pt>
                <c:pt idx="17">
                  <c:v>38</c:v>
                </c:pt>
                <c:pt idx="18">
                  <c:v>37</c:v>
                </c:pt>
                <c:pt idx="19">
                  <c:v>37</c:v>
                </c:pt>
                <c:pt idx="21">
                  <c:v>37</c:v>
                </c:pt>
                <c:pt idx="22">
                  <c:v>49</c:v>
                </c:pt>
                <c:pt idx="23">
                  <c:v>45</c:v>
                </c:pt>
                <c:pt idx="24">
                  <c:v>39</c:v>
                </c:pt>
                <c:pt idx="25">
                  <c:v>37</c:v>
                </c:pt>
                <c:pt idx="26">
                  <c:v>49</c:v>
                </c:pt>
                <c:pt idx="27">
                  <c:v>49</c:v>
                </c:pt>
                <c:pt idx="28">
                  <c:v>45</c:v>
                </c:pt>
                <c:pt idx="29">
                  <c:v>37</c:v>
                </c:pt>
                <c:pt idx="30">
                  <c:v>44</c:v>
                </c:pt>
                <c:pt idx="31">
                  <c:v>36</c:v>
                </c:pt>
                <c:pt idx="32">
                  <c:v>48</c:v>
                </c:pt>
                <c:pt idx="33">
                  <c:v>38</c:v>
                </c:pt>
                <c:pt idx="34">
                  <c:v>44</c:v>
                </c:pt>
                <c:pt idx="35">
                  <c:v>36</c:v>
                </c:pt>
                <c:pt idx="36">
                  <c:v>49</c:v>
                </c:pt>
                <c:pt idx="37">
                  <c:v>37</c:v>
                </c:pt>
                <c:pt idx="38">
                  <c:v>36</c:v>
                </c:pt>
                <c:pt idx="39">
                  <c:v>49</c:v>
                </c:pt>
                <c:pt idx="40">
                  <c:v>44</c:v>
                </c:pt>
                <c:pt idx="41">
                  <c:v>37</c:v>
                </c:pt>
                <c:pt idx="42">
                  <c:v>36</c:v>
                </c:pt>
                <c:pt idx="43">
                  <c:v>38</c:v>
                </c:pt>
                <c:pt idx="44">
                  <c:v>44</c:v>
                </c:pt>
                <c:pt idx="45">
                  <c:v>37</c:v>
                </c:pt>
                <c:pt idx="46">
                  <c:v>37</c:v>
                </c:pt>
                <c:pt idx="47">
                  <c:v>39</c:v>
                </c:pt>
                <c:pt idx="48">
                  <c:v>38</c:v>
                </c:pt>
                <c:pt idx="49">
                  <c:v>44</c:v>
                </c:pt>
                <c:pt idx="50">
                  <c:v>44</c:v>
                </c:pt>
                <c:pt idx="51">
                  <c:v>42</c:v>
                </c:pt>
                <c:pt idx="52">
                  <c:v>37</c:v>
                </c:pt>
                <c:pt idx="54">
                  <c:v>36</c:v>
                </c:pt>
                <c:pt idx="55">
                  <c:v>44</c:v>
                </c:pt>
                <c:pt idx="56">
                  <c:v>49</c:v>
                </c:pt>
                <c:pt idx="57">
                  <c:v>38</c:v>
                </c:pt>
                <c:pt idx="58">
                  <c:v>37</c:v>
                </c:pt>
                <c:pt idx="59">
                  <c:v>38</c:v>
                </c:pt>
              </c:numCache>
            </c:numRef>
          </c:val>
          <c:smooth val="0"/>
          <c:extLst>
            <c:ext xmlns:c16="http://schemas.microsoft.com/office/drawing/2014/chart" uri="{C3380CC4-5D6E-409C-BE32-E72D297353CC}">
              <c16:uniqueId val="{00000004-BAA6-3148-8957-45E646860F5C}"/>
            </c:ext>
          </c:extLst>
        </c:ser>
        <c:dLbls>
          <c:dLblPos val="ctr"/>
          <c:showLegendKey val="0"/>
          <c:showVal val="1"/>
          <c:showCatName val="0"/>
          <c:showSerName val="0"/>
          <c:showPercent val="0"/>
          <c:showBubbleSize val="0"/>
        </c:dLbls>
        <c:smooth val="0"/>
        <c:axId val="1215183"/>
        <c:axId val="1216863"/>
      </c:lineChart>
      <c:catAx>
        <c:axId val="12151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6863"/>
        <c:crosses val="autoZero"/>
        <c:auto val="1"/>
        <c:lblAlgn val="ctr"/>
        <c:lblOffset val="100"/>
        <c:noMultiLvlLbl val="0"/>
      </c:catAx>
      <c:valAx>
        <c:axId val="1216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5183"/>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10005 Exhibit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'10005 Exhibit'!$K$1</c:f>
              <c:strCache>
                <c:ptCount val="1"/>
                <c:pt idx="0">
                  <c:v>10004</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'10005 Exhibit'!$K$3:$K$62</c:f>
              <c:numCache>
                <c:formatCode>General</c:formatCode>
                <c:ptCount val="60"/>
                <c:pt idx="0">
                  <c:v>-85</c:v>
                </c:pt>
                <c:pt idx="1">
                  <c:v>-97</c:v>
                </c:pt>
                <c:pt idx="2">
                  <c:v>-88</c:v>
                </c:pt>
                <c:pt idx="3">
                  <c:v>-89</c:v>
                </c:pt>
                <c:pt idx="4">
                  <c:v>-90</c:v>
                </c:pt>
                <c:pt idx="5">
                  <c:v>-92</c:v>
                </c:pt>
                <c:pt idx="6">
                  <c:v>-92</c:v>
                </c:pt>
                <c:pt idx="7">
                  <c:v>-92</c:v>
                </c:pt>
                <c:pt idx="8">
                  <c:v>-91</c:v>
                </c:pt>
                <c:pt idx="9">
                  <c:v>-90</c:v>
                </c:pt>
                <c:pt idx="11">
                  <c:v>-91</c:v>
                </c:pt>
                <c:pt idx="12">
                  <c:v>-90</c:v>
                </c:pt>
                <c:pt idx="13">
                  <c:v>-90</c:v>
                </c:pt>
                <c:pt idx="14">
                  <c:v>-96</c:v>
                </c:pt>
                <c:pt idx="17">
                  <c:v>-92</c:v>
                </c:pt>
                <c:pt idx="18">
                  <c:v>-92</c:v>
                </c:pt>
                <c:pt idx="20">
                  <c:v>-90</c:v>
                </c:pt>
                <c:pt idx="21">
                  <c:v>-91</c:v>
                </c:pt>
                <c:pt idx="22">
                  <c:v>-88</c:v>
                </c:pt>
                <c:pt idx="24">
                  <c:v>-93</c:v>
                </c:pt>
                <c:pt idx="25">
                  <c:v>-90</c:v>
                </c:pt>
                <c:pt idx="26">
                  <c:v>-90</c:v>
                </c:pt>
                <c:pt idx="27">
                  <c:v>-91</c:v>
                </c:pt>
                <c:pt idx="29">
                  <c:v>-94</c:v>
                </c:pt>
                <c:pt idx="30">
                  <c:v>-94</c:v>
                </c:pt>
                <c:pt idx="33">
                  <c:v>-94</c:v>
                </c:pt>
                <c:pt idx="34">
                  <c:v>-92</c:v>
                </c:pt>
                <c:pt idx="35">
                  <c:v>-92</c:v>
                </c:pt>
                <c:pt idx="36">
                  <c:v>-92</c:v>
                </c:pt>
                <c:pt idx="37">
                  <c:v>-91</c:v>
                </c:pt>
                <c:pt idx="38">
                  <c:v>-91</c:v>
                </c:pt>
                <c:pt idx="39">
                  <c:v>-94</c:v>
                </c:pt>
                <c:pt idx="40">
                  <c:v>-95</c:v>
                </c:pt>
                <c:pt idx="45">
                  <c:v>-88</c:v>
                </c:pt>
                <c:pt idx="47">
                  <c:v>-93</c:v>
                </c:pt>
                <c:pt idx="49">
                  <c:v>-89</c:v>
                </c:pt>
                <c:pt idx="50">
                  <c:v>-89</c:v>
                </c:pt>
                <c:pt idx="53">
                  <c:v>-91</c:v>
                </c:pt>
                <c:pt idx="54">
                  <c:v>-91</c:v>
                </c:pt>
                <c:pt idx="55">
                  <c:v>-91</c:v>
                </c:pt>
                <c:pt idx="56">
                  <c:v>-91</c:v>
                </c:pt>
                <c:pt idx="57">
                  <c:v>-90</c:v>
                </c:pt>
                <c:pt idx="58">
                  <c:v>-90</c:v>
                </c:pt>
              </c:numCache>
            </c:numRef>
          </c:val>
          <c:smooth val="0"/>
          <c:extLst>
            <c:ext xmlns:c16="http://schemas.microsoft.com/office/drawing/2014/chart" uri="{C3380CC4-5D6E-409C-BE32-E72D297353CC}">
              <c16:uniqueId val="{00000000-28ED-0644-B38A-9037584FE68A}"/>
            </c:ext>
          </c:extLst>
        </c:ser>
        <c:ser>
          <c:idx val="1"/>
          <c:order val="1"/>
          <c:tx>
            <c:strRef>
              <c:f>'10005 Exhibit'!$L$1</c:f>
              <c:strCache>
                <c:ptCount val="1"/>
                <c:pt idx="0">
                  <c:v>10005</c:v>
                </c:pt>
              </c:strCache>
            </c:strRef>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'10005 Exhibit'!$L$3:$L$62</c:f>
              <c:numCache>
                <c:formatCode>General</c:formatCode>
                <c:ptCount val="60"/>
                <c:pt idx="1">
                  <c:v>-38</c:v>
                </c:pt>
                <c:pt idx="2">
                  <c:v>-37</c:v>
                </c:pt>
                <c:pt idx="3">
                  <c:v>-37</c:v>
                </c:pt>
                <c:pt idx="4">
                  <c:v>-37</c:v>
                </c:pt>
                <c:pt idx="5">
                  <c:v>-37</c:v>
                </c:pt>
                <c:pt idx="6">
                  <c:v>-37</c:v>
                </c:pt>
                <c:pt idx="7">
                  <c:v>-37</c:v>
                </c:pt>
                <c:pt idx="9">
                  <c:v>-37</c:v>
                </c:pt>
                <c:pt idx="10">
                  <c:v>-40</c:v>
                </c:pt>
                <c:pt idx="11">
                  <c:v>-38</c:v>
                </c:pt>
                <c:pt idx="13">
                  <c:v>-37</c:v>
                </c:pt>
                <c:pt idx="15">
                  <c:v>-37</c:v>
                </c:pt>
                <c:pt idx="16">
                  <c:v>-39</c:v>
                </c:pt>
                <c:pt idx="17">
                  <c:v>-38</c:v>
                </c:pt>
                <c:pt idx="18">
                  <c:v>-38</c:v>
                </c:pt>
                <c:pt idx="19">
                  <c:v>-38</c:v>
                </c:pt>
                <c:pt idx="20">
                  <c:v>-38</c:v>
                </c:pt>
                <c:pt idx="21">
                  <c:v>-40</c:v>
                </c:pt>
                <c:pt idx="22">
                  <c:v>-40</c:v>
                </c:pt>
                <c:pt idx="23">
                  <c:v>-38</c:v>
                </c:pt>
                <c:pt idx="24">
                  <c:v>-38</c:v>
                </c:pt>
                <c:pt idx="25">
                  <c:v>-38</c:v>
                </c:pt>
                <c:pt idx="26">
                  <c:v>-38</c:v>
                </c:pt>
                <c:pt idx="27">
                  <c:v>-38</c:v>
                </c:pt>
                <c:pt idx="28">
                  <c:v>-39</c:v>
                </c:pt>
                <c:pt idx="29">
                  <c:v>-40</c:v>
                </c:pt>
                <c:pt idx="31">
                  <c:v>-41</c:v>
                </c:pt>
                <c:pt idx="33">
                  <c:v>-41</c:v>
                </c:pt>
                <c:pt idx="34">
                  <c:v>-38</c:v>
                </c:pt>
                <c:pt idx="36">
                  <c:v>-37</c:v>
                </c:pt>
                <c:pt idx="37">
                  <c:v>-39</c:v>
                </c:pt>
                <c:pt idx="38">
                  <c:v>-37</c:v>
                </c:pt>
                <c:pt idx="39">
                  <c:v>-40</c:v>
                </c:pt>
                <c:pt idx="40">
                  <c:v>-38</c:v>
                </c:pt>
                <c:pt idx="41">
                  <c:v>-38</c:v>
                </c:pt>
                <c:pt idx="42">
                  <c:v>-39</c:v>
                </c:pt>
                <c:pt idx="43">
                  <c:v>-39</c:v>
                </c:pt>
                <c:pt idx="44">
                  <c:v>-38</c:v>
                </c:pt>
                <c:pt idx="45">
                  <c:v>-38</c:v>
                </c:pt>
                <c:pt idx="46">
                  <c:v>-40</c:v>
                </c:pt>
                <c:pt idx="47">
                  <c:v>-40</c:v>
                </c:pt>
                <c:pt idx="48">
                  <c:v>-38</c:v>
                </c:pt>
                <c:pt idx="49">
                  <c:v>-38</c:v>
                </c:pt>
                <c:pt idx="50">
                  <c:v>-38</c:v>
                </c:pt>
                <c:pt idx="51">
                  <c:v>-38</c:v>
                </c:pt>
                <c:pt idx="52">
                  <c:v>-40</c:v>
                </c:pt>
                <c:pt idx="53">
                  <c:v>-38</c:v>
                </c:pt>
                <c:pt idx="54">
                  <c:v>-40</c:v>
                </c:pt>
                <c:pt idx="55">
                  <c:v>-36</c:v>
                </c:pt>
                <c:pt idx="56">
                  <c:v>-40</c:v>
                </c:pt>
                <c:pt idx="57">
                  <c:v>-37</c:v>
                </c:pt>
                <c:pt idx="58">
                  <c:v>-41</c:v>
                </c:pt>
                <c:pt idx="59">
                  <c:v>-38</c:v>
                </c:pt>
              </c:numCache>
            </c:numRef>
          </c:val>
          <c:smooth val="0"/>
          <c:extLst>
            <c:ext xmlns:c16="http://schemas.microsoft.com/office/drawing/2014/chart" uri="{C3380CC4-5D6E-409C-BE32-E72D297353CC}">
              <c16:uniqueId val="{00000001-28ED-0644-B38A-9037584FE68A}"/>
            </c:ext>
          </c:extLst>
        </c:ser>
        <c:ser>
          <c:idx val="2"/>
          <c:order val="2"/>
          <c:tx>
            <c:strRef>
              <c:f>'10005 Exhibit'!$M$1</c:f>
              <c:strCache>
                <c:ptCount val="1"/>
                <c:pt idx="0">
                  <c:v>10006</c:v>
                </c:pt>
              </c:strCache>
            </c:strRef>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'10005 Exhibit'!$M$3:$M$62</c:f>
              <c:numCache>
                <c:formatCode>General</c:formatCode>
                <c:ptCount val="60"/>
                <c:pt idx="0">
                  <c:v>-83</c:v>
                </c:pt>
                <c:pt idx="1">
                  <c:v>-79</c:v>
                </c:pt>
                <c:pt idx="2">
                  <c:v>-87</c:v>
                </c:pt>
                <c:pt idx="3">
                  <c:v>-86</c:v>
                </c:pt>
                <c:pt idx="5">
                  <c:v>-87</c:v>
                </c:pt>
                <c:pt idx="6">
                  <c:v>-90</c:v>
                </c:pt>
                <c:pt idx="7">
                  <c:v>-87</c:v>
                </c:pt>
                <c:pt idx="8">
                  <c:v>-86</c:v>
                </c:pt>
                <c:pt idx="9">
                  <c:v>-88</c:v>
                </c:pt>
                <c:pt idx="10">
                  <c:v>-90</c:v>
                </c:pt>
                <c:pt idx="11">
                  <c:v>-90</c:v>
                </c:pt>
                <c:pt idx="12">
                  <c:v>-89</c:v>
                </c:pt>
                <c:pt idx="13">
                  <c:v>-90</c:v>
                </c:pt>
                <c:pt idx="14">
                  <c:v>-91</c:v>
                </c:pt>
                <c:pt idx="15">
                  <c:v>-90</c:v>
                </c:pt>
                <c:pt idx="16">
                  <c:v>-91</c:v>
                </c:pt>
                <c:pt idx="17">
                  <c:v>-93</c:v>
                </c:pt>
                <c:pt idx="22">
                  <c:v>-87</c:v>
                </c:pt>
                <c:pt idx="23">
                  <c:v>-92</c:v>
                </c:pt>
                <c:pt idx="24">
                  <c:v>-91</c:v>
                </c:pt>
                <c:pt idx="25">
                  <c:v>-93</c:v>
                </c:pt>
                <c:pt idx="28">
                  <c:v>-92</c:v>
                </c:pt>
                <c:pt idx="29">
                  <c:v>-91</c:v>
                </c:pt>
                <c:pt idx="30">
                  <c:v>-86</c:v>
                </c:pt>
                <c:pt idx="31">
                  <c:v>-86</c:v>
                </c:pt>
                <c:pt idx="32">
                  <c:v>-87</c:v>
                </c:pt>
                <c:pt idx="33">
                  <c:v>-87</c:v>
                </c:pt>
                <c:pt idx="34">
                  <c:v>-88</c:v>
                </c:pt>
                <c:pt idx="35">
                  <c:v>-93</c:v>
                </c:pt>
                <c:pt idx="36">
                  <c:v>-85</c:v>
                </c:pt>
                <c:pt idx="37">
                  <c:v>-85</c:v>
                </c:pt>
                <c:pt idx="38">
                  <c:v>-84</c:v>
                </c:pt>
                <c:pt idx="39">
                  <c:v>-84</c:v>
                </c:pt>
                <c:pt idx="40">
                  <c:v>-85</c:v>
                </c:pt>
                <c:pt idx="41">
                  <c:v>-84</c:v>
                </c:pt>
                <c:pt idx="43">
                  <c:v>-91</c:v>
                </c:pt>
                <c:pt idx="44">
                  <c:v>-93</c:v>
                </c:pt>
                <c:pt idx="45">
                  <c:v>-82</c:v>
                </c:pt>
                <c:pt idx="46">
                  <c:v>-89</c:v>
                </c:pt>
                <c:pt idx="47">
                  <c:v>-80</c:v>
                </c:pt>
                <c:pt idx="51">
                  <c:v>-87</c:v>
                </c:pt>
                <c:pt idx="52">
                  <c:v>-87</c:v>
                </c:pt>
                <c:pt idx="53">
                  <c:v>-91</c:v>
                </c:pt>
                <c:pt idx="54">
                  <c:v>-91</c:v>
                </c:pt>
                <c:pt idx="55">
                  <c:v>-91</c:v>
                </c:pt>
                <c:pt idx="56">
                  <c:v>-86</c:v>
                </c:pt>
                <c:pt idx="57">
                  <c:v>-83</c:v>
                </c:pt>
                <c:pt idx="58">
                  <c:v>-84</c:v>
                </c:pt>
                <c:pt idx="59">
                  <c:v>-88</c:v>
                </c:pt>
              </c:numCache>
            </c:numRef>
          </c:val>
          <c:smooth val="0"/>
          <c:extLst>
            <c:ext xmlns:c16="http://schemas.microsoft.com/office/drawing/2014/chart" uri="{C3380CC4-5D6E-409C-BE32-E72D297353CC}">
              <c16:uniqueId val="{00000002-28ED-0644-B38A-9037584FE68A}"/>
            </c:ext>
          </c:extLst>
        </c:ser>
        <c:ser>
          <c:idx val="3"/>
          <c:order val="3"/>
          <c:tx>
            <c:strRef>
              <c:f>'10005 Exhibit'!$N$1</c:f>
              <c:strCache>
                <c:ptCount val="1"/>
                <c:pt idx="0">
                  <c:v>Diffrence</c:v>
                </c:pt>
              </c:strCache>
            </c:strRef>
          </c:tx>
          <c:spPr>
            <a:ln w="22225" cap="rnd">
              <a:solidFill>
                <a:schemeClr val="accent4"/>
              </a:solidFill>
            </a:ln>
            <a:effectLst>
              <a:glow rad="139700">
                <a:schemeClr val="accent4">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'10005 Exhibit'!$N$3:$N$62</c:f>
              <c:numCache>
                <c:formatCode>General</c:formatCode>
                <c:ptCount val="60"/>
                <c:pt idx="1">
                  <c:v>59</c:v>
                </c:pt>
                <c:pt idx="2">
                  <c:v>51</c:v>
                </c:pt>
                <c:pt idx="3">
                  <c:v>52</c:v>
                </c:pt>
                <c:pt idx="4">
                  <c:v>53</c:v>
                </c:pt>
                <c:pt idx="5">
                  <c:v>55</c:v>
                </c:pt>
                <c:pt idx="6">
                  <c:v>55</c:v>
                </c:pt>
                <c:pt idx="7">
                  <c:v>55</c:v>
                </c:pt>
                <c:pt idx="9">
                  <c:v>53</c:v>
                </c:pt>
                <c:pt idx="10">
                  <c:v>40</c:v>
                </c:pt>
                <c:pt idx="11">
                  <c:v>53</c:v>
                </c:pt>
                <c:pt idx="13">
                  <c:v>53</c:v>
                </c:pt>
                <c:pt idx="15">
                  <c:v>37</c:v>
                </c:pt>
                <c:pt idx="16">
                  <c:v>39</c:v>
                </c:pt>
                <c:pt idx="17">
                  <c:v>54</c:v>
                </c:pt>
                <c:pt idx="18">
                  <c:v>54</c:v>
                </c:pt>
                <c:pt idx="19">
                  <c:v>38</c:v>
                </c:pt>
                <c:pt idx="20">
                  <c:v>52</c:v>
                </c:pt>
                <c:pt idx="21">
                  <c:v>51</c:v>
                </c:pt>
                <c:pt idx="22">
                  <c:v>48</c:v>
                </c:pt>
                <c:pt idx="23">
                  <c:v>38</c:v>
                </c:pt>
                <c:pt idx="24">
                  <c:v>55</c:v>
                </c:pt>
                <c:pt idx="25">
                  <c:v>52</c:v>
                </c:pt>
                <c:pt idx="26">
                  <c:v>52</c:v>
                </c:pt>
                <c:pt idx="27">
                  <c:v>53</c:v>
                </c:pt>
                <c:pt idx="28">
                  <c:v>39</c:v>
                </c:pt>
                <c:pt idx="29">
                  <c:v>54</c:v>
                </c:pt>
                <c:pt idx="31">
                  <c:v>41</c:v>
                </c:pt>
                <c:pt idx="33">
                  <c:v>53</c:v>
                </c:pt>
                <c:pt idx="34">
                  <c:v>54</c:v>
                </c:pt>
                <c:pt idx="36">
                  <c:v>55</c:v>
                </c:pt>
                <c:pt idx="37">
                  <c:v>52</c:v>
                </c:pt>
                <c:pt idx="38">
                  <c:v>54</c:v>
                </c:pt>
                <c:pt idx="39">
                  <c:v>54</c:v>
                </c:pt>
                <c:pt idx="40">
                  <c:v>57</c:v>
                </c:pt>
                <c:pt idx="41">
                  <c:v>38</c:v>
                </c:pt>
                <c:pt idx="42">
                  <c:v>39</c:v>
                </c:pt>
                <c:pt idx="43">
                  <c:v>39</c:v>
                </c:pt>
                <c:pt idx="44">
                  <c:v>38</c:v>
                </c:pt>
                <c:pt idx="45">
                  <c:v>50</c:v>
                </c:pt>
                <c:pt idx="46">
                  <c:v>40</c:v>
                </c:pt>
                <c:pt idx="47">
                  <c:v>53</c:v>
                </c:pt>
                <c:pt idx="48">
                  <c:v>38</c:v>
                </c:pt>
                <c:pt idx="49">
                  <c:v>51</c:v>
                </c:pt>
                <c:pt idx="50">
                  <c:v>51</c:v>
                </c:pt>
                <c:pt idx="51">
                  <c:v>38</c:v>
                </c:pt>
                <c:pt idx="52">
                  <c:v>40</c:v>
                </c:pt>
                <c:pt idx="53">
                  <c:v>53</c:v>
                </c:pt>
                <c:pt idx="54">
                  <c:v>51</c:v>
                </c:pt>
                <c:pt idx="55">
                  <c:v>55</c:v>
                </c:pt>
                <c:pt idx="56">
                  <c:v>51</c:v>
                </c:pt>
                <c:pt idx="57">
                  <c:v>53</c:v>
                </c:pt>
                <c:pt idx="58">
                  <c:v>49</c:v>
                </c:pt>
                <c:pt idx="59">
                  <c:v>38</c:v>
                </c:pt>
              </c:numCache>
            </c:numRef>
          </c:val>
          <c:smooth val="0"/>
          <c:extLst>
            <c:ext xmlns:c16="http://schemas.microsoft.com/office/drawing/2014/chart" uri="{C3380CC4-5D6E-409C-BE32-E72D297353CC}">
              <c16:uniqueId val="{00000003-28ED-0644-B38A-9037584FE68A}"/>
            </c:ext>
          </c:extLst>
        </c:ser>
        <c:dLbls>
          <c:dLblPos val="ctr"/>
          <c:showLegendKey val="0"/>
          <c:showVal val="1"/>
          <c:showCatName val="0"/>
          <c:showSerName val="0"/>
          <c:showPercent val="0"/>
          <c:showBubbleSize val="0"/>
        </c:dLbls>
        <c:smooth val="0"/>
        <c:axId val="1215183"/>
        <c:axId val="1216863"/>
      </c:lineChart>
      <c:catAx>
        <c:axId val="12151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6863"/>
        <c:crosses val="autoZero"/>
        <c:auto val="1"/>
        <c:lblAlgn val="ctr"/>
        <c:lblOffset val="100"/>
        <c:noMultiLvlLbl val="0"/>
      </c:catAx>
      <c:valAx>
        <c:axId val="1216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5183"/>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10006 Exhibit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'10006 Exhibit'!$K$1</c:f>
              <c:strCache>
                <c:ptCount val="1"/>
                <c:pt idx="0">
                  <c:v>10004</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'10006 Exhibit'!$K$3:$K$62</c:f>
              <c:numCache>
                <c:formatCode>General</c:formatCode>
                <c:ptCount val="60"/>
                <c:pt idx="0">
                  <c:v>-95</c:v>
                </c:pt>
                <c:pt idx="1">
                  <c:v>-92</c:v>
                </c:pt>
                <c:pt idx="2">
                  <c:v>-90</c:v>
                </c:pt>
                <c:pt idx="3">
                  <c:v>-92</c:v>
                </c:pt>
                <c:pt idx="4">
                  <c:v>-92</c:v>
                </c:pt>
                <c:pt idx="5">
                  <c:v>-93</c:v>
                </c:pt>
                <c:pt idx="6">
                  <c:v>-94</c:v>
                </c:pt>
                <c:pt idx="7">
                  <c:v>-95</c:v>
                </c:pt>
                <c:pt idx="9">
                  <c:v>-95</c:v>
                </c:pt>
                <c:pt idx="11">
                  <c:v>-96</c:v>
                </c:pt>
                <c:pt idx="12">
                  <c:v>-90</c:v>
                </c:pt>
                <c:pt idx="14">
                  <c:v>-92</c:v>
                </c:pt>
                <c:pt idx="16">
                  <c:v>-91</c:v>
                </c:pt>
                <c:pt idx="21">
                  <c:v>-91</c:v>
                </c:pt>
                <c:pt idx="22">
                  <c:v>-91</c:v>
                </c:pt>
                <c:pt idx="23">
                  <c:v>-90</c:v>
                </c:pt>
                <c:pt idx="24">
                  <c:v>-91</c:v>
                </c:pt>
                <c:pt idx="25">
                  <c:v>-93</c:v>
                </c:pt>
                <c:pt idx="26">
                  <c:v>-92</c:v>
                </c:pt>
                <c:pt idx="27">
                  <c:v>-92</c:v>
                </c:pt>
                <c:pt idx="28">
                  <c:v>-93</c:v>
                </c:pt>
                <c:pt idx="29">
                  <c:v>-91</c:v>
                </c:pt>
                <c:pt idx="30">
                  <c:v>-91</c:v>
                </c:pt>
                <c:pt idx="31">
                  <c:v>-92</c:v>
                </c:pt>
                <c:pt idx="32">
                  <c:v>-91</c:v>
                </c:pt>
                <c:pt idx="34">
                  <c:v>-92</c:v>
                </c:pt>
                <c:pt idx="35">
                  <c:v>-92</c:v>
                </c:pt>
                <c:pt idx="36">
                  <c:v>-92</c:v>
                </c:pt>
                <c:pt idx="38">
                  <c:v>-92</c:v>
                </c:pt>
                <c:pt idx="40">
                  <c:v>-92</c:v>
                </c:pt>
                <c:pt idx="41">
                  <c:v>-93</c:v>
                </c:pt>
                <c:pt idx="42">
                  <c:v>-93</c:v>
                </c:pt>
                <c:pt idx="43">
                  <c:v>-92</c:v>
                </c:pt>
                <c:pt idx="44">
                  <c:v>-92</c:v>
                </c:pt>
                <c:pt idx="45">
                  <c:v>-93</c:v>
                </c:pt>
                <c:pt idx="46">
                  <c:v>-91</c:v>
                </c:pt>
                <c:pt idx="47">
                  <c:v>-91</c:v>
                </c:pt>
                <c:pt idx="50">
                  <c:v>-94</c:v>
                </c:pt>
                <c:pt idx="51">
                  <c:v>-94</c:v>
                </c:pt>
              </c:numCache>
            </c:numRef>
          </c:val>
          <c:smooth val="0"/>
          <c:extLst>
            <c:ext xmlns:c16="http://schemas.microsoft.com/office/drawing/2014/chart" uri="{C3380CC4-5D6E-409C-BE32-E72D297353CC}">
              <c16:uniqueId val="{00000000-17C5-5141-91BA-C9B8D65B848B}"/>
            </c:ext>
          </c:extLst>
        </c:ser>
        <c:ser>
          <c:idx val="1"/>
          <c:order val="1"/>
          <c:tx>
            <c:strRef>
              <c:f>'10006 Exhibit'!$L$1</c:f>
              <c:strCache>
                <c:ptCount val="1"/>
                <c:pt idx="0">
                  <c:v>10005</c:v>
                </c:pt>
              </c:strCache>
            </c:strRef>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'10006 Exhibit'!$L$3:$L$62</c:f>
              <c:numCache>
                <c:formatCode>General</c:formatCode>
                <c:ptCount val="60"/>
                <c:pt idx="0">
                  <c:v>-88</c:v>
                </c:pt>
                <c:pt idx="1">
                  <c:v>-88</c:v>
                </c:pt>
                <c:pt idx="2">
                  <c:v>-88</c:v>
                </c:pt>
                <c:pt idx="3">
                  <c:v>-81</c:v>
                </c:pt>
                <c:pt idx="6">
                  <c:v>-85</c:v>
                </c:pt>
                <c:pt idx="7">
                  <c:v>-80</c:v>
                </c:pt>
                <c:pt idx="8">
                  <c:v>-83</c:v>
                </c:pt>
                <c:pt idx="9">
                  <c:v>-83</c:v>
                </c:pt>
                <c:pt idx="10">
                  <c:v>-82</c:v>
                </c:pt>
                <c:pt idx="11">
                  <c:v>-82</c:v>
                </c:pt>
                <c:pt idx="12">
                  <c:v>-82</c:v>
                </c:pt>
                <c:pt idx="13">
                  <c:v>-82</c:v>
                </c:pt>
                <c:pt idx="14">
                  <c:v>-82</c:v>
                </c:pt>
                <c:pt idx="15">
                  <c:v>-82</c:v>
                </c:pt>
                <c:pt idx="16">
                  <c:v>-82</c:v>
                </c:pt>
                <c:pt idx="17">
                  <c:v>-81</c:v>
                </c:pt>
                <c:pt idx="18">
                  <c:v>-81</c:v>
                </c:pt>
                <c:pt idx="19">
                  <c:v>-81</c:v>
                </c:pt>
                <c:pt idx="20">
                  <c:v>-81</c:v>
                </c:pt>
                <c:pt idx="21">
                  <c:v>-81</c:v>
                </c:pt>
                <c:pt idx="22">
                  <c:v>-82</c:v>
                </c:pt>
                <c:pt idx="23">
                  <c:v>-82</c:v>
                </c:pt>
                <c:pt idx="24">
                  <c:v>-81</c:v>
                </c:pt>
                <c:pt idx="25">
                  <c:v>-81</c:v>
                </c:pt>
                <c:pt idx="26">
                  <c:v>-83</c:v>
                </c:pt>
                <c:pt idx="27">
                  <c:v>-81</c:v>
                </c:pt>
                <c:pt idx="28">
                  <c:v>-83</c:v>
                </c:pt>
                <c:pt idx="30">
                  <c:v>-82</c:v>
                </c:pt>
                <c:pt idx="31">
                  <c:v>-81</c:v>
                </c:pt>
                <c:pt idx="33">
                  <c:v>-79</c:v>
                </c:pt>
                <c:pt idx="34">
                  <c:v>-82</c:v>
                </c:pt>
                <c:pt idx="35">
                  <c:v>-80</c:v>
                </c:pt>
                <c:pt idx="36">
                  <c:v>-80</c:v>
                </c:pt>
                <c:pt idx="37">
                  <c:v>-81</c:v>
                </c:pt>
                <c:pt idx="38">
                  <c:v>-81</c:v>
                </c:pt>
                <c:pt idx="39">
                  <c:v>-81</c:v>
                </c:pt>
                <c:pt idx="40">
                  <c:v>-81</c:v>
                </c:pt>
                <c:pt idx="41">
                  <c:v>-80</c:v>
                </c:pt>
                <c:pt idx="42">
                  <c:v>-80</c:v>
                </c:pt>
                <c:pt idx="43">
                  <c:v>-80</c:v>
                </c:pt>
                <c:pt idx="44">
                  <c:v>-80</c:v>
                </c:pt>
                <c:pt idx="45">
                  <c:v>-80</c:v>
                </c:pt>
                <c:pt idx="46">
                  <c:v>-80</c:v>
                </c:pt>
                <c:pt idx="47">
                  <c:v>-81</c:v>
                </c:pt>
                <c:pt idx="48">
                  <c:v>-81</c:v>
                </c:pt>
                <c:pt idx="49">
                  <c:v>-82</c:v>
                </c:pt>
                <c:pt idx="50">
                  <c:v>-81</c:v>
                </c:pt>
                <c:pt idx="51">
                  <c:v>-82</c:v>
                </c:pt>
                <c:pt idx="52">
                  <c:v>-81</c:v>
                </c:pt>
                <c:pt idx="53">
                  <c:v>-82</c:v>
                </c:pt>
                <c:pt idx="54">
                  <c:v>-81</c:v>
                </c:pt>
                <c:pt idx="55">
                  <c:v>-82</c:v>
                </c:pt>
                <c:pt idx="56">
                  <c:v>-82</c:v>
                </c:pt>
                <c:pt idx="57">
                  <c:v>-84</c:v>
                </c:pt>
                <c:pt idx="58">
                  <c:v>-82</c:v>
                </c:pt>
                <c:pt idx="59">
                  <c:v>-82</c:v>
                </c:pt>
              </c:numCache>
            </c:numRef>
          </c:val>
          <c:smooth val="0"/>
          <c:extLst>
            <c:ext xmlns:c16="http://schemas.microsoft.com/office/drawing/2014/chart" uri="{C3380CC4-5D6E-409C-BE32-E72D297353CC}">
              <c16:uniqueId val="{00000001-17C5-5141-91BA-C9B8D65B848B}"/>
            </c:ext>
          </c:extLst>
        </c:ser>
        <c:ser>
          <c:idx val="2"/>
          <c:order val="2"/>
          <c:tx>
            <c:strRef>
              <c:f>'10006 Exhibit'!$M$1</c:f>
              <c:strCache>
                <c:ptCount val="1"/>
                <c:pt idx="0">
                  <c:v>10006</c:v>
                </c:pt>
              </c:strCache>
            </c:strRef>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'10006 Exhibit'!$M$3:$M$62</c:f>
              <c:numCache>
                <c:formatCode>General</c:formatCode>
                <c:ptCount val="60"/>
                <c:pt idx="0">
                  <c:v>-47</c:v>
                </c:pt>
                <c:pt idx="1">
                  <c:v>-46</c:v>
                </c:pt>
                <c:pt idx="2">
                  <c:v>-46</c:v>
                </c:pt>
                <c:pt idx="3">
                  <c:v>-46</c:v>
                </c:pt>
                <c:pt idx="4">
                  <c:v>-44</c:v>
                </c:pt>
                <c:pt idx="5">
                  <c:v>-45</c:v>
                </c:pt>
                <c:pt idx="6">
                  <c:v>-46</c:v>
                </c:pt>
                <c:pt idx="7">
                  <c:v>-46</c:v>
                </c:pt>
                <c:pt idx="8">
                  <c:v>-46</c:v>
                </c:pt>
                <c:pt idx="9">
                  <c:v>-45</c:v>
                </c:pt>
                <c:pt idx="10">
                  <c:v>-45</c:v>
                </c:pt>
                <c:pt idx="11">
                  <c:v>-45</c:v>
                </c:pt>
                <c:pt idx="12">
                  <c:v>-45</c:v>
                </c:pt>
                <c:pt idx="13">
                  <c:v>-45</c:v>
                </c:pt>
                <c:pt idx="14">
                  <c:v>-45</c:v>
                </c:pt>
                <c:pt idx="15">
                  <c:v>-46</c:v>
                </c:pt>
                <c:pt idx="16">
                  <c:v>-45</c:v>
                </c:pt>
                <c:pt idx="17">
                  <c:v>-46</c:v>
                </c:pt>
                <c:pt idx="18">
                  <c:v>-46</c:v>
                </c:pt>
                <c:pt idx="19">
                  <c:v>-46</c:v>
                </c:pt>
                <c:pt idx="20">
                  <c:v>-46</c:v>
                </c:pt>
                <c:pt idx="21">
                  <c:v>-46</c:v>
                </c:pt>
                <c:pt idx="23">
                  <c:v>-46</c:v>
                </c:pt>
                <c:pt idx="24">
                  <c:v>-46</c:v>
                </c:pt>
                <c:pt idx="25">
                  <c:v>-45</c:v>
                </c:pt>
                <c:pt idx="26">
                  <c:v>-45</c:v>
                </c:pt>
                <c:pt idx="27">
                  <c:v>-46</c:v>
                </c:pt>
                <c:pt idx="28">
                  <c:v>-46</c:v>
                </c:pt>
                <c:pt idx="29">
                  <c:v>-46</c:v>
                </c:pt>
                <c:pt idx="30">
                  <c:v>-46</c:v>
                </c:pt>
                <c:pt idx="31">
                  <c:v>-45</c:v>
                </c:pt>
                <c:pt idx="32">
                  <c:v>-45</c:v>
                </c:pt>
                <c:pt idx="33">
                  <c:v>-45</c:v>
                </c:pt>
                <c:pt idx="34">
                  <c:v>-45</c:v>
                </c:pt>
                <c:pt idx="35">
                  <c:v>-45</c:v>
                </c:pt>
                <c:pt idx="36">
                  <c:v>-45</c:v>
                </c:pt>
                <c:pt idx="38">
                  <c:v>-45</c:v>
                </c:pt>
                <c:pt idx="39">
                  <c:v>-46</c:v>
                </c:pt>
                <c:pt idx="40">
                  <c:v>-45</c:v>
                </c:pt>
                <c:pt idx="42">
                  <c:v>-45</c:v>
                </c:pt>
                <c:pt idx="43">
                  <c:v>-46</c:v>
                </c:pt>
                <c:pt idx="44">
                  <c:v>-45</c:v>
                </c:pt>
                <c:pt idx="45">
                  <c:v>-46</c:v>
                </c:pt>
                <c:pt idx="46">
                  <c:v>-45</c:v>
                </c:pt>
                <c:pt idx="47">
                  <c:v>-46</c:v>
                </c:pt>
                <c:pt idx="48">
                  <c:v>-45</c:v>
                </c:pt>
                <c:pt idx="49">
                  <c:v>-45</c:v>
                </c:pt>
                <c:pt idx="50">
                  <c:v>-45</c:v>
                </c:pt>
                <c:pt idx="51">
                  <c:v>-45</c:v>
                </c:pt>
                <c:pt idx="52">
                  <c:v>-45</c:v>
                </c:pt>
                <c:pt idx="53">
                  <c:v>-45</c:v>
                </c:pt>
                <c:pt idx="54">
                  <c:v>-45</c:v>
                </c:pt>
                <c:pt idx="55">
                  <c:v>-45</c:v>
                </c:pt>
                <c:pt idx="56">
                  <c:v>-45</c:v>
                </c:pt>
                <c:pt idx="57">
                  <c:v>-45</c:v>
                </c:pt>
                <c:pt idx="58">
                  <c:v>-45</c:v>
                </c:pt>
                <c:pt idx="59">
                  <c:v>-45</c:v>
                </c:pt>
              </c:numCache>
            </c:numRef>
          </c:val>
          <c:smooth val="0"/>
          <c:extLst>
            <c:ext xmlns:c16="http://schemas.microsoft.com/office/drawing/2014/chart" uri="{C3380CC4-5D6E-409C-BE32-E72D297353CC}">
              <c16:uniqueId val="{00000002-17C5-5141-91BA-C9B8D65B848B}"/>
            </c:ext>
          </c:extLst>
        </c:ser>
        <c:ser>
          <c:idx val="3"/>
          <c:order val="3"/>
          <c:tx>
            <c:strRef>
              <c:f>'10006 Exhibit'!$N$1</c:f>
              <c:strCache>
                <c:ptCount val="1"/>
                <c:pt idx="0">
                  <c:v>Diffrence</c:v>
                </c:pt>
              </c:strCache>
            </c:strRef>
          </c:tx>
          <c:spPr>
            <a:ln w="22225" cap="rnd">
              <a:solidFill>
                <a:schemeClr val="accent4"/>
              </a:solidFill>
            </a:ln>
            <a:effectLst>
              <a:glow rad="139700">
                <a:schemeClr val="accent4">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'10006 Exhibit'!$N$3:$N$62</c:f>
              <c:numCache>
                <c:formatCode>General</c:formatCode>
                <c:ptCount val="60"/>
                <c:pt idx="0">
                  <c:v>41</c:v>
                </c:pt>
                <c:pt idx="1">
                  <c:v>42</c:v>
                </c:pt>
                <c:pt idx="2">
                  <c:v>42</c:v>
                </c:pt>
                <c:pt idx="3">
                  <c:v>35</c:v>
                </c:pt>
                <c:pt idx="6">
                  <c:v>39</c:v>
                </c:pt>
                <c:pt idx="7">
                  <c:v>34</c:v>
                </c:pt>
                <c:pt idx="8">
                  <c:v>37</c:v>
                </c:pt>
                <c:pt idx="9">
                  <c:v>38</c:v>
                </c:pt>
                <c:pt idx="10">
                  <c:v>37</c:v>
                </c:pt>
                <c:pt idx="11">
                  <c:v>37</c:v>
                </c:pt>
                <c:pt idx="12">
                  <c:v>37</c:v>
                </c:pt>
                <c:pt idx="13">
                  <c:v>37</c:v>
                </c:pt>
                <c:pt idx="14">
                  <c:v>37</c:v>
                </c:pt>
                <c:pt idx="15">
                  <c:v>36</c:v>
                </c:pt>
                <c:pt idx="16">
                  <c:v>37</c:v>
                </c:pt>
                <c:pt idx="17">
                  <c:v>35</c:v>
                </c:pt>
                <c:pt idx="18">
                  <c:v>35</c:v>
                </c:pt>
                <c:pt idx="19">
                  <c:v>35</c:v>
                </c:pt>
                <c:pt idx="20">
                  <c:v>35</c:v>
                </c:pt>
                <c:pt idx="21">
                  <c:v>35</c:v>
                </c:pt>
                <c:pt idx="23">
                  <c:v>36</c:v>
                </c:pt>
                <c:pt idx="24">
                  <c:v>35</c:v>
                </c:pt>
                <c:pt idx="25">
                  <c:v>36</c:v>
                </c:pt>
                <c:pt idx="26">
                  <c:v>38</c:v>
                </c:pt>
                <c:pt idx="27">
                  <c:v>35</c:v>
                </c:pt>
                <c:pt idx="28">
                  <c:v>37</c:v>
                </c:pt>
                <c:pt idx="30">
                  <c:v>36</c:v>
                </c:pt>
                <c:pt idx="31">
                  <c:v>36</c:v>
                </c:pt>
                <c:pt idx="33">
                  <c:v>34</c:v>
                </c:pt>
                <c:pt idx="34">
                  <c:v>37</c:v>
                </c:pt>
                <c:pt idx="35">
                  <c:v>35</c:v>
                </c:pt>
                <c:pt idx="36">
                  <c:v>35</c:v>
                </c:pt>
                <c:pt idx="38">
                  <c:v>36</c:v>
                </c:pt>
                <c:pt idx="39">
                  <c:v>35</c:v>
                </c:pt>
                <c:pt idx="40">
                  <c:v>36</c:v>
                </c:pt>
                <c:pt idx="42">
                  <c:v>35</c:v>
                </c:pt>
                <c:pt idx="43">
                  <c:v>34</c:v>
                </c:pt>
                <c:pt idx="44">
                  <c:v>35</c:v>
                </c:pt>
                <c:pt idx="45">
                  <c:v>34</c:v>
                </c:pt>
                <c:pt idx="46">
                  <c:v>35</c:v>
                </c:pt>
                <c:pt idx="47">
                  <c:v>35</c:v>
                </c:pt>
                <c:pt idx="48">
                  <c:v>36</c:v>
                </c:pt>
                <c:pt idx="49">
                  <c:v>37</c:v>
                </c:pt>
                <c:pt idx="50">
                  <c:v>36</c:v>
                </c:pt>
                <c:pt idx="51">
                  <c:v>37</c:v>
                </c:pt>
                <c:pt idx="52">
                  <c:v>36</c:v>
                </c:pt>
                <c:pt idx="53">
                  <c:v>37</c:v>
                </c:pt>
                <c:pt idx="54">
                  <c:v>36</c:v>
                </c:pt>
                <c:pt idx="55">
                  <c:v>37</c:v>
                </c:pt>
                <c:pt idx="56">
                  <c:v>37</c:v>
                </c:pt>
                <c:pt idx="57">
                  <c:v>39</c:v>
                </c:pt>
                <c:pt idx="58">
                  <c:v>37</c:v>
                </c:pt>
                <c:pt idx="59">
                  <c:v>37</c:v>
                </c:pt>
              </c:numCache>
            </c:numRef>
          </c:val>
          <c:smooth val="0"/>
          <c:extLst>
            <c:ext xmlns:c16="http://schemas.microsoft.com/office/drawing/2014/chart" uri="{C3380CC4-5D6E-409C-BE32-E72D297353CC}">
              <c16:uniqueId val="{00000003-17C5-5141-91BA-C9B8D65B848B}"/>
            </c:ext>
          </c:extLst>
        </c:ser>
        <c:dLbls>
          <c:dLblPos val="ctr"/>
          <c:showLegendKey val="0"/>
          <c:showVal val="1"/>
          <c:showCatName val="0"/>
          <c:showSerName val="0"/>
          <c:showPercent val="0"/>
          <c:showBubbleSize val="0"/>
        </c:dLbls>
        <c:smooth val="0"/>
        <c:axId val="1215183"/>
        <c:axId val="1216863"/>
      </c:lineChart>
      <c:catAx>
        <c:axId val="12151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6863"/>
        <c:crosses val="autoZero"/>
        <c:auto val="1"/>
        <c:lblAlgn val="ctr"/>
        <c:lblOffset val="100"/>
        <c:noMultiLvlLbl val="0"/>
      </c:catAx>
      <c:valAx>
        <c:axId val="1216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5183"/>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'Walk About'!$K$1</c:f>
              <c:strCache>
                <c:ptCount val="1"/>
                <c:pt idx="0">
                  <c:v>10004</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'Walk About'!$K$3:$K$122</c:f>
              <c:numCache>
                <c:formatCode>General</c:formatCode>
                <c:ptCount val="120"/>
                <c:pt idx="0">
                  <c:v>-60</c:v>
                </c:pt>
                <c:pt idx="1">
                  <c:v>-60</c:v>
                </c:pt>
                <c:pt idx="2">
                  <c:v>-54</c:v>
                </c:pt>
                <c:pt idx="4">
                  <c:v>-61</c:v>
                </c:pt>
                <c:pt idx="5">
                  <c:v>-54</c:v>
                </c:pt>
                <c:pt idx="7">
                  <c:v>-51</c:v>
                </c:pt>
                <c:pt idx="8">
                  <c:v>-67</c:v>
                </c:pt>
                <c:pt idx="9">
                  <c:v>-70</c:v>
                </c:pt>
                <c:pt idx="10">
                  <c:v>-67</c:v>
                </c:pt>
                <c:pt idx="11">
                  <c:v>-64</c:v>
                </c:pt>
                <c:pt idx="12">
                  <c:v>-64</c:v>
                </c:pt>
                <c:pt idx="13">
                  <c:v>-63</c:v>
                </c:pt>
                <c:pt idx="14">
                  <c:v>-63</c:v>
                </c:pt>
                <c:pt idx="15">
                  <c:v>-63</c:v>
                </c:pt>
                <c:pt idx="16">
                  <c:v>-62</c:v>
                </c:pt>
                <c:pt idx="17">
                  <c:v>-60</c:v>
                </c:pt>
                <c:pt idx="18">
                  <c:v>-60</c:v>
                </c:pt>
                <c:pt idx="19">
                  <c:v>-59</c:v>
                </c:pt>
                <c:pt idx="20">
                  <c:v>-63</c:v>
                </c:pt>
                <c:pt idx="21">
                  <c:v>-63</c:v>
                </c:pt>
                <c:pt idx="22">
                  <c:v>-61</c:v>
                </c:pt>
                <c:pt idx="23">
                  <c:v>-61</c:v>
                </c:pt>
                <c:pt idx="24">
                  <c:v>-62</c:v>
                </c:pt>
                <c:pt idx="28">
                  <c:v>-71</c:v>
                </c:pt>
                <c:pt idx="30">
                  <c:v>-74</c:v>
                </c:pt>
                <c:pt idx="31">
                  <c:v>-71</c:v>
                </c:pt>
                <c:pt idx="34">
                  <c:v>-94</c:v>
                </c:pt>
                <c:pt idx="35">
                  <c:v>-94</c:v>
                </c:pt>
                <c:pt idx="36">
                  <c:v>-94</c:v>
                </c:pt>
                <c:pt idx="37">
                  <c:v>-88</c:v>
                </c:pt>
                <c:pt idx="38">
                  <c:v>-88</c:v>
                </c:pt>
                <c:pt idx="39">
                  <c:v>-89</c:v>
                </c:pt>
                <c:pt idx="40">
                  <c:v>-89</c:v>
                </c:pt>
                <c:pt idx="41">
                  <c:v>-94</c:v>
                </c:pt>
                <c:pt idx="42">
                  <c:v>-85</c:v>
                </c:pt>
                <c:pt idx="43">
                  <c:v>-86</c:v>
                </c:pt>
                <c:pt idx="44">
                  <c:v>-87</c:v>
                </c:pt>
                <c:pt idx="45">
                  <c:v>-85</c:v>
                </c:pt>
                <c:pt idx="47">
                  <c:v>-92</c:v>
                </c:pt>
                <c:pt idx="51">
                  <c:v>-92</c:v>
                </c:pt>
                <c:pt idx="53">
                  <c:v>-91</c:v>
                </c:pt>
                <c:pt idx="57">
                  <c:v>-89</c:v>
                </c:pt>
                <c:pt idx="58">
                  <c:v>-89</c:v>
                </c:pt>
                <c:pt idx="60">
                  <c:v>-96</c:v>
                </c:pt>
                <c:pt idx="61">
                  <c:v>-95</c:v>
                </c:pt>
                <c:pt idx="62">
                  <c:v>-90</c:v>
                </c:pt>
                <c:pt idx="63">
                  <c:v>-88</c:v>
                </c:pt>
                <c:pt idx="65">
                  <c:v>-90</c:v>
                </c:pt>
                <c:pt idx="66">
                  <c:v>-91</c:v>
                </c:pt>
                <c:pt idx="67">
                  <c:v>-91</c:v>
                </c:pt>
                <c:pt idx="68">
                  <c:v>-90</c:v>
                </c:pt>
                <c:pt idx="69">
                  <c:v>-86</c:v>
                </c:pt>
                <c:pt idx="72">
                  <c:v>-89</c:v>
                </c:pt>
                <c:pt idx="73">
                  <c:v>-91</c:v>
                </c:pt>
                <c:pt idx="74">
                  <c:v>-89</c:v>
                </c:pt>
                <c:pt idx="76">
                  <c:v>-87</c:v>
                </c:pt>
                <c:pt idx="79">
                  <c:v>-90</c:v>
                </c:pt>
                <c:pt idx="80">
                  <c:v>-90</c:v>
                </c:pt>
                <c:pt idx="81">
                  <c:v>-92</c:v>
                </c:pt>
                <c:pt idx="85">
                  <c:v>-84</c:v>
                </c:pt>
                <c:pt idx="86">
                  <c:v>-86</c:v>
                </c:pt>
                <c:pt idx="87">
                  <c:v>-91</c:v>
                </c:pt>
                <c:pt idx="88">
                  <c:v>-92</c:v>
                </c:pt>
                <c:pt idx="89">
                  <c:v>-85</c:v>
                </c:pt>
                <c:pt idx="90">
                  <c:v>-86</c:v>
                </c:pt>
                <c:pt idx="91">
                  <c:v>-91</c:v>
                </c:pt>
                <c:pt idx="92">
                  <c:v>-86</c:v>
                </c:pt>
                <c:pt idx="93">
                  <c:v>-88</c:v>
                </c:pt>
                <c:pt idx="94">
                  <c:v>-87</c:v>
                </c:pt>
                <c:pt idx="95">
                  <c:v>-94</c:v>
                </c:pt>
                <c:pt idx="96">
                  <c:v>-88</c:v>
                </c:pt>
                <c:pt idx="99">
                  <c:v>-93</c:v>
                </c:pt>
                <c:pt idx="101">
                  <c:v>-88</c:v>
                </c:pt>
                <c:pt idx="102">
                  <c:v>-89</c:v>
                </c:pt>
                <c:pt idx="103">
                  <c:v>-88</c:v>
                </c:pt>
                <c:pt idx="104">
                  <c:v>-87</c:v>
                </c:pt>
                <c:pt idx="105">
                  <c:v>-96</c:v>
                </c:pt>
                <c:pt idx="106">
                  <c:v>-96</c:v>
                </c:pt>
                <c:pt idx="107">
                  <c:v>-86</c:v>
                </c:pt>
                <c:pt idx="108">
                  <c:v>-86</c:v>
                </c:pt>
                <c:pt idx="109">
                  <c:v>-90</c:v>
                </c:pt>
                <c:pt idx="110">
                  <c:v>-94</c:v>
                </c:pt>
                <c:pt idx="111">
                  <c:v>-94</c:v>
                </c:pt>
                <c:pt idx="112">
                  <c:v>-94</c:v>
                </c:pt>
                <c:pt idx="113">
                  <c:v>-94</c:v>
                </c:pt>
                <c:pt idx="116">
                  <c:v>-93</c:v>
                </c:pt>
                <c:pt idx="118">
                  <c:v>-90</c:v>
                </c:pt>
                <c:pt idx="119">
                  <c:v>-90</c:v>
                </c:pt>
              </c:numCache>
            </c:numRef>
          </c:val>
          <c:smooth val="0"/>
          <c:extLst>
            <c:ext xmlns:c16="http://schemas.microsoft.com/office/drawing/2014/chart" uri="{C3380CC4-5D6E-409C-BE32-E72D297353CC}">
              <c16:uniqueId val="{00000000-B11B-A041-8F7B-E1659BC19775}"/>
            </c:ext>
          </c:extLst>
        </c:ser>
        <c:ser>
          <c:idx val="1"/>
          <c:order val="1"/>
          <c:tx>
            <c:strRef>
              <c:f>'Walk About'!$L$1</c:f>
              <c:strCache>
                <c:ptCount val="1"/>
                <c:pt idx="0">
                  <c:v>10005</c:v>
                </c:pt>
              </c:strCache>
            </c:strRef>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'Walk About'!$L$3:$L$122</c:f>
              <c:numCache>
                <c:formatCode>General</c:formatCode>
                <c:ptCount val="120"/>
                <c:pt idx="0">
                  <c:v>-87</c:v>
                </c:pt>
                <c:pt idx="1">
                  <c:v>-87</c:v>
                </c:pt>
                <c:pt idx="2">
                  <c:v>-88</c:v>
                </c:pt>
                <c:pt idx="3">
                  <c:v>-88</c:v>
                </c:pt>
                <c:pt idx="4">
                  <c:v>-85</c:v>
                </c:pt>
                <c:pt idx="5">
                  <c:v>-85</c:v>
                </c:pt>
                <c:pt idx="6">
                  <c:v>-92</c:v>
                </c:pt>
                <c:pt idx="7">
                  <c:v>-86</c:v>
                </c:pt>
                <c:pt idx="8">
                  <c:v>-86</c:v>
                </c:pt>
                <c:pt idx="9">
                  <c:v>-87</c:v>
                </c:pt>
                <c:pt idx="10">
                  <c:v>-90</c:v>
                </c:pt>
                <c:pt idx="12">
                  <c:v>-87</c:v>
                </c:pt>
                <c:pt idx="14">
                  <c:v>-86</c:v>
                </c:pt>
                <c:pt idx="20">
                  <c:v>-82</c:v>
                </c:pt>
                <c:pt idx="22">
                  <c:v>-93</c:v>
                </c:pt>
                <c:pt idx="24">
                  <c:v>-93</c:v>
                </c:pt>
                <c:pt idx="27">
                  <c:v>-85</c:v>
                </c:pt>
                <c:pt idx="28">
                  <c:v>-81</c:v>
                </c:pt>
                <c:pt idx="29">
                  <c:v>-81</c:v>
                </c:pt>
                <c:pt idx="30">
                  <c:v>-89</c:v>
                </c:pt>
                <c:pt idx="31">
                  <c:v>-89</c:v>
                </c:pt>
                <c:pt idx="32">
                  <c:v>-85</c:v>
                </c:pt>
                <c:pt idx="33">
                  <c:v>-86</c:v>
                </c:pt>
                <c:pt idx="34">
                  <c:v>-86</c:v>
                </c:pt>
                <c:pt idx="35">
                  <c:v>-85</c:v>
                </c:pt>
                <c:pt idx="36">
                  <c:v>-74</c:v>
                </c:pt>
                <c:pt idx="37">
                  <c:v>-73</c:v>
                </c:pt>
                <c:pt idx="38">
                  <c:v>-67</c:v>
                </c:pt>
                <c:pt idx="39">
                  <c:v>-62</c:v>
                </c:pt>
                <c:pt idx="40">
                  <c:v>-62</c:v>
                </c:pt>
                <c:pt idx="41">
                  <c:v>-63</c:v>
                </c:pt>
                <c:pt idx="43">
                  <c:v>-53</c:v>
                </c:pt>
                <c:pt idx="44">
                  <c:v>-50</c:v>
                </c:pt>
                <c:pt idx="45">
                  <c:v>-48</c:v>
                </c:pt>
                <c:pt idx="46">
                  <c:v>-68</c:v>
                </c:pt>
                <c:pt idx="47">
                  <c:v>-71</c:v>
                </c:pt>
                <c:pt idx="48">
                  <c:v>-68</c:v>
                </c:pt>
                <c:pt idx="49">
                  <c:v>-70</c:v>
                </c:pt>
                <c:pt idx="50">
                  <c:v>-68</c:v>
                </c:pt>
                <c:pt idx="51">
                  <c:v>-70</c:v>
                </c:pt>
                <c:pt idx="52">
                  <c:v>-69</c:v>
                </c:pt>
                <c:pt idx="53">
                  <c:v>-69</c:v>
                </c:pt>
                <c:pt idx="54">
                  <c:v>-70</c:v>
                </c:pt>
                <c:pt idx="55">
                  <c:v>-58</c:v>
                </c:pt>
                <c:pt idx="56">
                  <c:v>-55</c:v>
                </c:pt>
                <c:pt idx="57">
                  <c:v>-53</c:v>
                </c:pt>
                <c:pt idx="58">
                  <c:v>-53</c:v>
                </c:pt>
                <c:pt idx="59">
                  <c:v>-64</c:v>
                </c:pt>
                <c:pt idx="60">
                  <c:v>-64</c:v>
                </c:pt>
                <c:pt idx="61">
                  <c:v>-67</c:v>
                </c:pt>
                <c:pt idx="62">
                  <c:v>-69</c:v>
                </c:pt>
                <c:pt idx="63">
                  <c:v>-63</c:v>
                </c:pt>
                <c:pt idx="64">
                  <c:v>-63</c:v>
                </c:pt>
                <c:pt idx="65">
                  <c:v>-76</c:v>
                </c:pt>
                <c:pt idx="66">
                  <c:v>-66</c:v>
                </c:pt>
                <c:pt idx="67">
                  <c:v>-63</c:v>
                </c:pt>
                <c:pt idx="72">
                  <c:v>-65</c:v>
                </c:pt>
                <c:pt idx="73">
                  <c:v>-67</c:v>
                </c:pt>
                <c:pt idx="74">
                  <c:v>-65</c:v>
                </c:pt>
                <c:pt idx="75">
                  <c:v>-64</c:v>
                </c:pt>
                <c:pt idx="76">
                  <c:v>-57</c:v>
                </c:pt>
                <c:pt idx="77">
                  <c:v>-57</c:v>
                </c:pt>
                <c:pt idx="78">
                  <c:v>-59</c:v>
                </c:pt>
                <c:pt idx="79">
                  <c:v>-60</c:v>
                </c:pt>
                <c:pt idx="80">
                  <c:v>-67</c:v>
                </c:pt>
                <c:pt idx="81">
                  <c:v>-67</c:v>
                </c:pt>
                <c:pt idx="83">
                  <c:v>-65</c:v>
                </c:pt>
                <c:pt idx="84">
                  <c:v>-68</c:v>
                </c:pt>
                <c:pt idx="85">
                  <c:v>-84</c:v>
                </c:pt>
                <c:pt idx="86">
                  <c:v>-89</c:v>
                </c:pt>
                <c:pt idx="88">
                  <c:v>-79</c:v>
                </c:pt>
                <c:pt idx="89">
                  <c:v>-85</c:v>
                </c:pt>
                <c:pt idx="90">
                  <c:v>-83</c:v>
                </c:pt>
                <c:pt idx="91">
                  <c:v>-73</c:v>
                </c:pt>
                <c:pt idx="94">
                  <c:v>-81</c:v>
                </c:pt>
                <c:pt idx="95">
                  <c:v>-80</c:v>
                </c:pt>
                <c:pt idx="96">
                  <c:v>-81</c:v>
                </c:pt>
                <c:pt idx="97">
                  <c:v>-81</c:v>
                </c:pt>
                <c:pt idx="99">
                  <c:v>-78</c:v>
                </c:pt>
                <c:pt idx="100">
                  <c:v>-78</c:v>
                </c:pt>
                <c:pt idx="101">
                  <c:v>-84</c:v>
                </c:pt>
                <c:pt idx="102">
                  <c:v>-86</c:v>
                </c:pt>
                <c:pt idx="103">
                  <c:v>-78</c:v>
                </c:pt>
                <c:pt idx="104">
                  <c:v>-78</c:v>
                </c:pt>
                <c:pt idx="105">
                  <c:v>-84</c:v>
                </c:pt>
                <c:pt idx="106">
                  <c:v>-78</c:v>
                </c:pt>
                <c:pt idx="107">
                  <c:v>-78</c:v>
                </c:pt>
                <c:pt idx="108">
                  <c:v>-87</c:v>
                </c:pt>
                <c:pt idx="109">
                  <c:v>-83</c:v>
                </c:pt>
                <c:pt idx="112">
                  <c:v>-86</c:v>
                </c:pt>
                <c:pt idx="113">
                  <c:v>-90</c:v>
                </c:pt>
                <c:pt idx="114">
                  <c:v>-83</c:v>
                </c:pt>
                <c:pt idx="115">
                  <c:v>-93</c:v>
                </c:pt>
                <c:pt idx="116">
                  <c:v>-88</c:v>
                </c:pt>
                <c:pt idx="117">
                  <c:v>-93</c:v>
                </c:pt>
                <c:pt idx="118">
                  <c:v>-89</c:v>
                </c:pt>
                <c:pt idx="119">
                  <c:v>-89</c:v>
                </c:pt>
              </c:numCache>
            </c:numRef>
          </c:val>
          <c:smooth val="0"/>
          <c:extLst>
            <c:ext xmlns:c16="http://schemas.microsoft.com/office/drawing/2014/chart" uri="{C3380CC4-5D6E-409C-BE32-E72D297353CC}">
              <c16:uniqueId val="{00000001-B11B-A041-8F7B-E1659BC19775}"/>
            </c:ext>
          </c:extLst>
        </c:ser>
        <c:ser>
          <c:idx val="2"/>
          <c:order val="2"/>
          <c:tx>
            <c:strRef>
              <c:f>'Walk About'!$M$1</c:f>
              <c:strCache>
                <c:ptCount val="1"/>
                <c:pt idx="0">
                  <c:v>10006</c:v>
                </c:pt>
              </c:strCache>
            </c:strRef>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'Walk About'!$M$3:$M$122</c:f>
              <c:numCache>
                <c:formatCode>General</c:formatCode>
                <c:ptCount val="120"/>
                <c:pt idx="6">
                  <c:v>-95</c:v>
                </c:pt>
                <c:pt idx="9">
                  <c:v>-92</c:v>
                </c:pt>
                <c:pt idx="12">
                  <c:v>-90</c:v>
                </c:pt>
                <c:pt idx="13">
                  <c:v>-90</c:v>
                </c:pt>
                <c:pt idx="14">
                  <c:v>-96</c:v>
                </c:pt>
                <c:pt idx="15">
                  <c:v>-96</c:v>
                </c:pt>
                <c:pt idx="20">
                  <c:v>-97</c:v>
                </c:pt>
                <c:pt idx="21">
                  <c:v>-97</c:v>
                </c:pt>
                <c:pt idx="26">
                  <c:v>-86</c:v>
                </c:pt>
                <c:pt idx="27">
                  <c:v>-90</c:v>
                </c:pt>
                <c:pt idx="29">
                  <c:v>-88</c:v>
                </c:pt>
                <c:pt idx="31">
                  <c:v>-86</c:v>
                </c:pt>
                <c:pt idx="34">
                  <c:v>-88</c:v>
                </c:pt>
                <c:pt idx="35">
                  <c:v>-89</c:v>
                </c:pt>
                <c:pt idx="36">
                  <c:v>-84</c:v>
                </c:pt>
                <c:pt idx="37">
                  <c:v>-90</c:v>
                </c:pt>
                <c:pt idx="38">
                  <c:v>-84</c:v>
                </c:pt>
                <c:pt idx="39">
                  <c:v>-90</c:v>
                </c:pt>
                <c:pt idx="40">
                  <c:v>-87</c:v>
                </c:pt>
                <c:pt idx="41">
                  <c:v>-86</c:v>
                </c:pt>
                <c:pt idx="45">
                  <c:v>-94</c:v>
                </c:pt>
                <c:pt idx="46">
                  <c:v>-93</c:v>
                </c:pt>
                <c:pt idx="47">
                  <c:v>-91</c:v>
                </c:pt>
                <c:pt idx="48">
                  <c:v>-90</c:v>
                </c:pt>
                <c:pt idx="51">
                  <c:v>-93</c:v>
                </c:pt>
                <c:pt idx="52">
                  <c:v>-92</c:v>
                </c:pt>
                <c:pt idx="53">
                  <c:v>-92</c:v>
                </c:pt>
                <c:pt idx="54">
                  <c:v>-93</c:v>
                </c:pt>
                <c:pt idx="56">
                  <c:v>-93</c:v>
                </c:pt>
                <c:pt idx="58">
                  <c:v>-95</c:v>
                </c:pt>
                <c:pt idx="59">
                  <c:v>-92</c:v>
                </c:pt>
                <c:pt idx="60">
                  <c:v>-90</c:v>
                </c:pt>
                <c:pt idx="61">
                  <c:v>-94</c:v>
                </c:pt>
                <c:pt idx="62">
                  <c:v>-91</c:v>
                </c:pt>
                <c:pt idx="63">
                  <c:v>-92</c:v>
                </c:pt>
                <c:pt idx="64">
                  <c:v>-90</c:v>
                </c:pt>
                <c:pt idx="65">
                  <c:v>-90</c:v>
                </c:pt>
                <c:pt idx="66">
                  <c:v>-90</c:v>
                </c:pt>
                <c:pt idx="70">
                  <c:v>-93</c:v>
                </c:pt>
                <c:pt idx="71">
                  <c:v>-93</c:v>
                </c:pt>
                <c:pt idx="72">
                  <c:v>-90</c:v>
                </c:pt>
                <c:pt idx="73">
                  <c:v>-91</c:v>
                </c:pt>
                <c:pt idx="74">
                  <c:v>-94</c:v>
                </c:pt>
                <c:pt idx="83">
                  <c:v>-91</c:v>
                </c:pt>
                <c:pt idx="86">
                  <c:v>-91</c:v>
                </c:pt>
                <c:pt idx="87">
                  <c:v>-91</c:v>
                </c:pt>
                <c:pt idx="88">
                  <c:v>-81</c:v>
                </c:pt>
                <c:pt idx="89">
                  <c:v>-81</c:v>
                </c:pt>
                <c:pt idx="90">
                  <c:v>-79</c:v>
                </c:pt>
                <c:pt idx="91">
                  <c:v>-74</c:v>
                </c:pt>
                <c:pt idx="92">
                  <c:v>-63</c:v>
                </c:pt>
                <c:pt idx="93">
                  <c:v>-55</c:v>
                </c:pt>
                <c:pt idx="94">
                  <c:v>-55</c:v>
                </c:pt>
                <c:pt idx="96">
                  <c:v>-75</c:v>
                </c:pt>
                <c:pt idx="97">
                  <c:v>-71</c:v>
                </c:pt>
                <c:pt idx="98">
                  <c:v>-71</c:v>
                </c:pt>
                <c:pt idx="99">
                  <c:v>-70</c:v>
                </c:pt>
                <c:pt idx="101">
                  <c:v>-54</c:v>
                </c:pt>
                <c:pt idx="103">
                  <c:v>-55</c:v>
                </c:pt>
                <c:pt idx="104">
                  <c:v>-68</c:v>
                </c:pt>
                <c:pt idx="105">
                  <c:v>-80</c:v>
                </c:pt>
                <c:pt idx="106">
                  <c:v>-81</c:v>
                </c:pt>
                <c:pt idx="108">
                  <c:v>-47</c:v>
                </c:pt>
                <c:pt idx="109">
                  <c:v>-44</c:v>
                </c:pt>
                <c:pt idx="110">
                  <c:v>-45</c:v>
                </c:pt>
                <c:pt idx="111">
                  <c:v>-78</c:v>
                </c:pt>
                <c:pt idx="112">
                  <c:v>-78</c:v>
                </c:pt>
                <c:pt idx="113">
                  <c:v>-78</c:v>
                </c:pt>
                <c:pt idx="114">
                  <c:v>-68</c:v>
                </c:pt>
                <c:pt idx="115">
                  <c:v>-67</c:v>
                </c:pt>
                <c:pt idx="116">
                  <c:v>-69</c:v>
                </c:pt>
                <c:pt idx="117">
                  <c:v>-69</c:v>
                </c:pt>
                <c:pt idx="118">
                  <c:v>-72</c:v>
                </c:pt>
                <c:pt idx="119">
                  <c:v>-72</c:v>
                </c:pt>
              </c:numCache>
            </c:numRef>
          </c:val>
          <c:smooth val="0"/>
          <c:extLst>
            <c:ext xmlns:c16="http://schemas.microsoft.com/office/drawing/2014/chart" uri="{C3380CC4-5D6E-409C-BE32-E72D297353CC}">
              <c16:uniqueId val="{00000002-B11B-A041-8F7B-E1659BC19775}"/>
            </c:ext>
          </c:extLst>
        </c:ser>
        <c:dLbls>
          <c:dLblPos val="ctr"/>
          <c:showLegendKey val="0"/>
          <c:showVal val="1"/>
          <c:showCatName val="0"/>
          <c:showSerName val="0"/>
          <c:showPercent val="0"/>
          <c:showBubbleSize val="0"/>
        </c:dLbls>
        <c:smooth val="0"/>
        <c:axId val="1215183"/>
        <c:axId val="1216863"/>
      </c:lineChart>
      <c:catAx>
        <c:axId val="12151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6863"/>
        <c:crosses val="autoZero"/>
        <c:auto val="1"/>
        <c:lblAlgn val="ctr"/>
        <c:lblOffset val="100"/>
        <c:noMultiLvlLbl val="0"/>
      </c:catAx>
      <c:valAx>
        <c:axId val="1216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5183"/>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All 10004 Exhibit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v>10004 First test</c:v>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'10004 Exhibit'!$K$3:$K$62</c:f>
              <c:numCache>
                <c:formatCode>General</c:formatCode>
                <c:ptCount val="60"/>
                <c:pt idx="0">
                  <c:v>-49</c:v>
                </c:pt>
                <c:pt idx="1">
                  <c:v>-50</c:v>
                </c:pt>
                <c:pt idx="2">
                  <c:v>-50</c:v>
                </c:pt>
                <c:pt idx="3">
                  <c:v>-49</c:v>
                </c:pt>
                <c:pt idx="4">
                  <c:v>-49</c:v>
                </c:pt>
                <c:pt idx="5">
                  <c:v>-49</c:v>
                </c:pt>
                <c:pt idx="6">
                  <c:v>-49</c:v>
                </c:pt>
                <c:pt idx="7">
                  <c:v>-49</c:v>
                </c:pt>
                <c:pt idx="8">
                  <c:v>-49</c:v>
                </c:pt>
                <c:pt idx="9">
                  <c:v>-49</c:v>
                </c:pt>
                <c:pt idx="10">
                  <c:v>-49</c:v>
                </c:pt>
                <c:pt idx="11">
                  <c:v>-49</c:v>
                </c:pt>
                <c:pt idx="12">
                  <c:v>-49</c:v>
                </c:pt>
                <c:pt idx="13">
                  <c:v>-49</c:v>
                </c:pt>
                <c:pt idx="14">
                  <c:v>-49</c:v>
                </c:pt>
                <c:pt idx="16">
                  <c:v>-49</c:v>
                </c:pt>
                <c:pt idx="17">
                  <c:v>-49</c:v>
                </c:pt>
                <c:pt idx="18">
                  <c:v>-49</c:v>
                </c:pt>
                <c:pt idx="19">
                  <c:v>-49</c:v>
                </c:pt>
                <c:pt idx="21">
                  <c:v>-49</c:v>
                </c:pt>
                <c:pt idx="22">
                  <c:v>-49</c:v>
                </c:pt>
                <c:pt idx="23">
                  <c:v>-49</c:v>
                </c:pt>
                <c:pt idx="24">
                  <c:v>-49</c:v>
                </c:pt>
                <c:pt idx="25">
                  <c:v>-49</c:v>
                </c:pt>
                <c:pt idx="26">
                  <c:v>-49</c:v>
                </c:pt>
                <c:pt idx="27">
                  <c:v>-49</c:v>
                </c:pt>
                <c:pt idx="28">
                  <c:v>-49</c:v>
                </c:pt>
                <c:pt idx="29">
                  <c:v>-49</c:v>
                </c:pt>
                <c:pt idx="30">
                  <c:v>-49</c:v>
                </c:pt>
                <c:pt idx="31">
                  <c:v>-49</c:v>
                </c:pt>
                <c:pt idx="32">
                  <c:v>-48</c:v>
                </c:pt>
                <c:pt idx="33">
                  <c:v>-49</c:v>
                </c:pt>
                <c:pt idx="34">
                  <c:v>-49</c:v>
                </c:pt>
                <c:pt idx="35">
                  <c:v>-49</c:v>
                </c:pt>
                <c:pt idx="36">
                  <c:v>-49</c:v>
                </c:pt>
                <c:pt idx="37">
                  <c:v>-48</c:v>
                </c:pt>
                <c:pt idx="38">
                  <c:v>-49</c:v>
                </c:pt>
                <c:pt idx="39">
                  <c:v>-49</c:v>
                </c:pt>
                <c:pt idx="40">
                  <c:v>-49</c:v>
                </c:pt>
                <c:pt idx="41">
                  <c:v>-49</c:v>
                </c:pt>
                <c:pt idx="42">
                  <c:v>-49</c:v>
                </c:pt>
                <c:pt idx="43">
                  <c:v>-49</c:v>
                </c:pt>
                <c:pt idx="44">
                  <c:v>-49</c:v>
                </c:pt>
                <c:pt idx="45">
                  <c:v>-49</c:v>
                </c:pt>
                <c:pt idx="46">
                  <c:v>-49</c:v>
                </c:pt>
                <c:pt idx="47">
                  <c:v>-49</c:v>
                </c:pt>
                <c:pt idx="48">
                  <c:v>-49</c:v>
                </c:pt>
                <c:pt idx="49">
                  <c:v>-49</c:v>
                </c:pt>
                <c:pt idx="50">
                  <c:v>-49</c:v>
                </c:pt>
                <c:pt idx="51">
                  <c:v>-49</c:v>
                </c:pt>
                <c:pt idx="52">
                  <c:v>-49</c:v>
                </c:pt>
                <c:pt idx="54">
                  <c:v>-49</c:v>
                </c:pt>
                <c:pt idx="55">
                  <c:v>-49</c:v>
                </c:pt>
                <c:pt idx="56">
                  <c:v>-49</c:v>
                </c:pt>
                <c:pt idx="57">
                  <c:v>-49</c:v>
                </c:pt>
                <c:pt idx="58">
                  <c:v>-49</c:v>
                </c:pt>
                <c:pt idx="59">
                  <c:v>-49</c:v>
                </c:pt>
              </c:numCache>
            </c:numRef>
          </c:val>
          <c:smooth val="0"/>
          <c:extLst>
            <c:ext xmlns:c16="http://schemas.microsoft.com/office/drawing/2014/chart" uri="{C3380CC4-5D6E-409C-BE32-E72D297353CC}">
              <c16:uniqueId val="{00000000-B87C-6543-AD36-BA91ACF5AAD2}"/>
            </c:ext>
          </c:extLst>
        </c:ser>
        <c:ser>
          <c:idx val="1"/>
          <c:order val="1"/>
          <c:tx>
            <c:v>10004 Second test</c:v>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'10005 Exhibit'!$K$3:$K$62</c:f>
              <c:numCache>
                <c:formatCode>General</c:formatCode>
                <c:ptCount val="60"/>
                <c:pt idx="0">
                  <c:v>-85</c:v>
                </c:pt>
                <c:pt idx="1">
                  <c:v>-97</c:v>
                </c:pt>
                <c:pt idx="2">
                  <c:v>-88</c:v>
                </c:pt>
                <c:pt idx="3">
                  <c:v>-89</c:v>
                </c:pt>
                <c:pt idx="4">
                  <c:v>-90</c:v>
                </c:pt>
                <c:pt idx="5">
                  <c:v>-92</c:v>
                </c:pt>
                <c:pt idx="6">
                  <c:v>-92</c:v>
                </c:pt>
                <c:pt idx="7">
                  <c:v>-92</c:v>
                </c:pt>
                <c:pt idx="8">
                  <c:v>-91</c:v>
                </c:pt>
                <c:pt idx="9">
                  <c:v>-90</c:v>
                </c:pt>
                <c:pt idx="11">
                  <c:v>-91</c:v>
                </c:pt>
                <c:pt idx="12">
                  <c:v>-90</c:v>
                </c:pt>
                <c:pt idx="13">
                  <c:v>-90</c:v>
                </c:pt>
                <c:pt idx="14">
                  <c:v>-96</c:v>
                </c:pt>
                <c:pt idx="17">
                  <c:v>-92</c:v>
                </c:pt>
                <c:pt idx="18">
                  <c:v>-92</c:v>
                </c:pt>
                <c:pt idx="20">
                  <c:v>-90</c:v>
                </c:pt>
                <c:pt idx="21">
                  <c:v>-91</c:v>
                </c:pt>
                <c:pt idx="22">
                  <c:v>-88</c:v>
                </c:pt>
                <c:pt idx="24">
                  <c:v>-93</c:v>
                </c:pt>
                <c:pt idx="25">
                  <c:v>-90</c:v>
                </c:pt>
                <c:pt idx="26">
                  <c:v>-90</c:v>
                </c:pt>
                <c:pt idx="27">
                  <c:v>-91</c:v>
                </c:pt>
                <c:pt idx="29">
                  <c:v>-94</c:v>
                </c:pt>
                <c:pt idx="30">
                  <c:v>-94</c:v>
                </c:pt>
                <c:pt idx="33">
                  <c:v>-94</c:v>
                </c:pt>
                <c:pt idx="34">
                  <c:v>-92</c:v>
                </c:pt>
                <c:pt idx="35">
                  <c:v>-92</c:v>
                </c:pt>
                <c:pt idx="36">
                  <c:v>-92</c:v>
                </c:pt>
                <c:pt idx="37">
                  <c:v>-91</c:v>
                </c:pt>
                <c:pt idx="38">
                  <c:v>-91</c:v>
                </c:pt>
                <c:pt idx="39">
                  <c:v>-94</c:v>
                </c:pt>
                <c:pt idx="40">
                  <c:v>-95</c:v>
                </c:pt>
                <c:pt idx="45">
                  <c:v>-88</c:v>
                </c:pt>
                <c:pt idx="47">
                  <c:v>-93</c:v>
                </c:pt>
                <c:pt idx="49">
                  <c:v>-89</c:v>
                </c:pt>
                <c:pt idx="50">
                  <c:v>-89</c:v>
                </c:pt>
                <c:pt idx="53">
                  <c:v>-91</c:v>
                </c:pt>
                <c:pt idx="54">
                  <c:v>-91</c:v>
                </c:pt>
                <c:pt idx="55">
                  <c:v>-91</c:v>
                </c:pt>
                <c:pt idx="56">
                  <c:v>-91</c:v>
                </c:pt>
                <c:pt idx="57">
                  <c:v>-90</c:v>
                </c:pt>
                <c:pt idx="58">
                  <c:v>-90</c:v>
                </c:pt>
              </c:numCache>
            </c:numRef>
          </c:val>
          <c:smooth val="0"/>
          <c:extLst>
            <c:ext xmlns:c16="http://schemas.microsoft.com/office/drawing/2014/chart" uri="{C3380CC4-5D6E-409C-BE32-E72D297353CC}">
              <c16:uniqueId val="{00000004-B87C-6543-AD36-BA91ACF5AAD2}"/>
            </c:ext>
          </c:extLst>
        </c:ser>
        <c:ser>
          <c:idx val="2"/>
          <c:order val="2"/>
          <c:tx>
            <c:v>10004 Third test</c:v>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'10006 Exhibit'!$K$3:$K$62</c:f>
              <c:numCache>
                <c:formatCode>General</c:formatCode>
                <c:ptCount val="60"/>
                <c:pt idx="0">
                  <c:v>-95</c:v>
                </c:pt>
                <c:pt idx="1">
                  <c:v>-92</c:v>
                </c:pt>
                <c:pt idx="2">
                  <c:v>-90</c:v>
                </c:pt>
                <c:pt idx="3">
                  <c:v>-92</c:v>
                </c:pt>
                <c:pt idx="4">
                  <c:v>-92</c:v>
                </c:pt>
                <c:pt idx="5">
                  <c:v>-93</c:v>
                </c:pt>
                <c:pt idx="6">
                  <c:v>-94</c:v>
                </c:pt>
                <c:pt idx="7">
                  <c:v>-95</c:v>
                </c:pt>
                <c:pt idx="9">
                  <c:v>-95</c:v>
                </c:pt>
                <c:pt idx="11">
                  <c:v>-96</c:v>
                </c:pt>
                <c:pt idx="12">
                  <c:v>-90</c:v>
                </c:pt>
                <c:pt idx="14">
                  <c:v>-92</c:v>
                </c:pt>
                <c:pt idx="16">
                  <c:v>-91</c:v>
                </c:pt>
                <c:pt idx="21">
                  <c:v>-91</c:v>
                </c:pt>
                <c:pt idx="22">
                  <c:v>-91</c:v>
                </c:pt>
                <c:pt idx="23">
                  <c:v>-90</c:v>
                </c:pt>
                <c:pt idx="24">
                  <c:v>-91</c:v>
                </c:pt>
                <c:pt idx="25">
                  <c:v>-93</c:v>
                </c:pt>
                <c:pt idx="26">
                  <c:v>-92</c:v>
                </c:pt>
                <c:pt idx="27">
                  <c:v>-92</c:v>
                </c:pt>
                <c:pt idx="28">
                  <c:v>-93</c:v>
                </c:pt>
                <c:pt idx="29">
                  <c:v>-91</c:v>
                </c:pt>
                <c:pt idx="30">
                  <c:v>-91</c:v>
                </c:pt>
                <c:pt idx="31">
                  <c:v>-92</c:v>
                </c:pt>
                <c:pt idx="32">
                  <c:v>-91</c:v>
                </c:pt>
                <c:pt idx="34">
                  <c:v>-92</c:v>
                </c:pt>
                <c:pt idx="35">
                  <c:v>-92</c:v>
                </c:pt>
                <c:pt idx="36">
                  <c:v>-92</c:v>
                </c:pt>
                <c:pt idx="38">
                  <c:v>-92</c:v>
                </c:pt>
                <c:pt idx="40">
                  <c:v>-92</c:v>
                </c:pt>
                <c:pt idx="41">
                  <c:v>-93</c:v>
                </c:pt>
                <c:pt idx="42">
                  <c:v>-93</c:v>
                </c:pt>
                <c:pt idx="43">
                  <c:v>-92</c:v>
                </c:pt>
                <c:pt idx="44">
                  <c:v>-92</c:v>
                </c:pt>
                <c:pt idx="45">
                  <c:v>-93</c:v>
                </c:pt>
                <c:pt idx="46">
                  <c:v>-91</c:v>
                </c:pt>
                <c:pt idx="47">
                  <c:v>-91</c:v>
                </c:pt>
                <c:pt idx="50">
                  <c:v>-94</c:v>
                </c:pt>
                <c:pt idx="51">
                  <c:v>-94</c:v>
                </c:pt>
              </c:numCache>
            </c:numRef>
          </c:val>
          <c:smooth val="0"/>
          <c:extLst>
            <c:ext xmlns:c16="http://schemas.microsoft.com/office/drawing/2014/chart" uri="{C3380CC4-5D6E-409C-BE32-E72D297353CC}">
              <c16:uniqueId val="{00000005-B87C-6543-AD36-BA91ACF5AAD2}"/>
            </c:ext>
          </c:extLst>
        </c:ser>
        <c:dLbls>
          <c:dLblPos val="ctr"/>
          <c:showLegendKey val="0"/>
          <c:showVal val="1"/>
          <c:showCatName val="0"/>
          <c:showSerName val="0"/>
          <c:showPercent val="0"/>
          <c:showBubbleSize val="0"/>
        </c:dLbls>
        <c:smooth val="0"/>
        <c:axId val="1215183"/>
        <c:axId val="1216863"/>
      </c:lineChart>
      <c:catAx>
        <c:axId val="12151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6863"/>
        <c:crosses val="autoZero"/>
        <c:auto val="1"/>
        <c:lblAlgn val="ctr"/>
        <c:lblOffset val="100"/>
        <c:noMultiLvlLbl val="0"/>
      </c:catAx>
      <c:valAx>
        <c:axId val="1216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5183"/>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All 10005 Exhibit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v>10005 First test</c:v>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'10004 Exhibit'!$L$3:$L$62</c:f>
              <c:numCache>
                <c:formatCode>General</c:formatCode>
                <c:ptCount val="60"/>
                <c:pt idx="1">
                  <c:v>-92</c:v>
                </c:pt>
                <c:pt idx="2">
                  <c:v>-92</c:v>
                </c:pt>
                <c:pt idx="4">
                  <c:v>-91</c:v>
                </c:pt>
                <c:pt idx="5">
                  <c:v>-87</c:v>
                </c:pt>
                <c:pt idx="6">
                  <c:v>-93</c:v>
                </c:pt>
                <c:pt idx="7">
                  <c:v>-87</c:v>
                </c:pt>
                <c:pt idx="8">
                  <c:v>-85</c:v>
                </c:pt>
                <c:pt idx="9">
                  <c:v>-86</c:v>
                </c:pt>
                <c:pt idx="12">
                  <c:v>-85</c:v>
                </c:pt>
                <c:pt idx="13">
                  <c:v>-88</c:v>
                </c:pt>
                <c:pt idx="14">
                  <c:v>-86</c:v>
                </c:pt>
                <c:pt idx="15">
                  <c:v>-85</c:v>
                </c:pt>
                <c:pt idx="16">
                  <c:v>-87</c:v>
                </c:pt>
                <c:pt idx="17">
                  <c:v>-87</c:v>
                </c:pt>
                <c:pt idx="18">
                  <c:v>-86</c:v>
                </c:pt>
                <c:pt idx="19">
                  <c:v>-86</c:v>
                </c:pt>
                <c:pt idx="20">
                  <c:v>-86</c:v>
                </c:pt>
                <c:pt idx="21">
                  <c:v>-86</c:v>
                </c:pt>
                <c:pt idx="23">
                  <c:v>-94</c:v>
                </c:pt>
                <c:pt idx="24">
                  <c:v>-88</c:v>
                </c:pt>
                <c:pt idx="25">
                  <c:v>-86</c:v>
                </c:pt>
                <c:pt idx="29">
                  <c:v>-86</c:v>
                </c:pt>
                <c:pt idx="30">
                  <c:v>-93</c:v>
                </c:pt>
                <c:pt idx="31">
                  <c:v>-85</c:v>
                </c:pt>
                <c:pt idx="33">
                  <c:v>-87</c:v>
                </c:pt>
                <c:pt idx="34">
                  <c:v>-93</c:v>
                </c:pt>
                <c:pt idx="35">
                  <c:v>-85</c:v>
                </c:pt>
                <c:pt idx="37">
                  <c:v>-85</c:v>
                </c:pt>
                <c:pt idx="38">
                  <c:v>-85</c:v>
                </c:pt>
                <c:pt idx="40">
                  <c:v>-93</c:v>
                </c:pt>
                <c:pt idx="41">
                  <c:v>-86</c:v>
                </c:pt>
                <c:pt idx="42">
                  <c:v>-85</c:v>
                </c:pt>
                <c:pt idx="43">
                  <c:v>-87</c:v>
                </c:pt>
                <c:pt idx="44">
                  <c:v>-93</c:v>
                </c:pt>
                <c:pt idx="45">
                  <c:v>-86</c:v>
                </c:pt>
                <c:pt idx="46">
                  <c:v>-86</c:v>
                </c:pt>
                <c:pt idx="47">
                  <c:v>-88</c:v>
                </c:pt>
                <c:pt idx="48">
                  <c:v>-87</c:v>
                </c:pt>
                <c:pt idx="49">
                  <c:v>-93</c:v>
                </c:pt>
                <c:pt idx="51">
                  <c:v>-91</c:v>
                </c:pt>
                <c:pt idx="52">
                  <c:v>-86</c:v>
                </c:pt>
                <c:pt idx="54">
                  <c:v>-85</c:v>
                </c:pt>
                <c:pt idx="57">
                  <c:v>-87</c:v>
                </c:pt>
                <c:pt idx="58">
                  <c:v>-86</c:v>
                </c:pt>
                <c:pt idx="59">
                  <c:v>-87</c:v>
                </c:pt>
              </c:numCache>
            </c:numRef>
          </c:val>
          <c:smooth val="0"/>
          <c:extLst>
            <c:ext xmlns:c16="http://schemas.microsoft.com/office/drawing/2014/chart" uri="{C3380CC4-5D6E-409C-BE32-E72D297353CC}">
              <c16:uniqueId val="{00000000-0EA3-2E4E-98F4-62C29FE2B467}"/>
            </c:ext>
          </c:extLst>
        </c:ser>
        <c:ser>
          <c:idx val="1"/>
          <c:order val="1"/>
          <c:tx>
            <c:v>10005 Second test</c:v>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'10005 Exhibit'!$L$3:$L$62</c:f>
              <c:numCache>
                <c:formatCode>General</c:formatCode>
                <c:ptCount val="60"/>
                <c:pt idx="1">
                  <c:v>-38</c:v>
                </c:pt>
                <c:pt idx="2">
                  <c:v>-37</c:v>
                </c:pt>
                <c:pt idx="3">
                  <c:v>-37</c:v>
                </c:pt>
                <c:pt idx="4">
                  <c:v>-37</c:v>
                </c:pt>
                <c:pt idx="5">
                  <c:v>-37</c:v>
                </c:pt>
                <c:pt idx="6">
                  <c:v>-37</c:v>
                </c:pt>
                <c:pt idx="7">
                  <c:v>-37</c:v>
                </c:pt>
                <c:pt idx="9">
                  <c:v>-37</c:v>
                </c:pt>
                <c:pt idx="10">
                  <c:v>-40</c:v>
                </c:pt>
                <c:pt idx="11">
                  <c:v>-38</c:v>
                </c:pt>
                <c:pt idx="13">
                  <c:v>-37</c:v>
                </c:pt>
                <c:pt idx="15">
                  <c:v>-37</c:v>
                </c:pt>
                <c:pt idx="16">
                  <c:v>-39</c:v>
                </c:pt>
                <c:pt idx="17">
                  <c:v>-38</c:v>
                </c:pt>
                <c:pt idx="18">
                  <c:v>-38</c:v>
                </c:pt>
                <c:pt idx="19">
                  <c:v>-38</c:v>
                </c:pt>
                <c:pt idx="20">
                  <c:v>-38</c:v>
                </c:pt>
                <c:pt idx="21">
                  <c:v>-40</c:v>
                </c:pt>
                <c:pt idx="22">
                  <c:v>-40</c:v>
                </c:pt>
                <c:pt idx="23">
                  <c:v>-38</c:v>
                </c:pt>
                <c:pt idx="24">
                  <c:v>-38</c:v>
                </c:pt>
                <c:pt idx="25">
                  <c:v>-38</c:v>
                </c:pt>
                <c:pt idx="26">
                  <c:v>-38</c:v>
                </c:pt>
                <c:pt idx="27">
                  <c:v>-38</c:v>
                </c:pt>
                <c:pt idx="28">
                  <c:v>-39</c:v>
                </c:pt>
                <c:pt idx="29">
                  <c:v>-40</c:v>
                </c:pt>
                <c:pt idx="31">
                  <c:v>-41</c:v>
                </c:pt>
                <c:pt idx="33">
                  <c:v>-41</c:v>
                </c:pt>
                <c:pt idx="34">
                  <c:v>-38</c:v>
                </c:pt>
                <c:pt idx="36">
                  <c:v>-37</c:v>
                </c:pt>
                <c:pt idx="37">
                  <c:v>-39</c:v>
                </c:pt>
                <c:pt idx="38">
                  <c:v>-37</c:v>
                </c:pt>
                <c:pt idx="39">
                  <c:v>-40</c:v>
                </c:pt>
                <c:pt idx="40">
                  <c:v>-38</c:v>
                </c:pt>
                <c:pt idx="41">
                  <c:v>-38</c:v>
                </c:pt>
                <c:pt idx="42">
                  <c:v>-39</c:v>
                </c:pt>
                <c:pt idx="43">
                  <c:v>-39</c:v>
                </c:pt>
                <c:pt idx="44">
                  <c:v>-38</c:v>
                </c:pt>
                <c:pt idx="45">
                  <c:v>-38</c:v>
                </c:pt>
                <c:pt idx="46">
                  <c:v>-40</c:v>
                </c:pt>
                <c:pt idx="47">
                  <c:v>-40</c:v>
                </c:pt>
                <c:pt idx="48">
                  <c:v>-38</c:v>
                </c:pt>
                <c:pt idx="49">
                  <c:v>-38</c:v>
                </c:pt>
                <c:pt idx="50">
                  <c:v>-38</c:v>
                </c:pt>
                <c:pt idx="51">
                  <c:v>-38</c:v>
                </c:pt>
                <c:pt idx="52">
                  <c:v>-40</c:v>
                </c:pt>
                <c:pt idx="53">
                  <c:v>-38</c:v>
                </c:pt>
                <c:pt idx="54">
                  <c:v>-40</c:v>
                </c:pt>
                <c:pt idx="55">
                  <c:v>-36</c:v>
                </c:pt>
                <c:pt idx="56">
                  <c:v>-40</c:v>
                </c:pt>
                <c:pt idx="57">
                  <c:v>-37</c:v>
                </c:pt>
                <c:pt idx="58">
                  <c:v>-41</c:v>
                </c:pt>
                <c:pt idx="59">
                  <c:v>-38</c:v>
                </c:pt>
              </c:numCache>
            </c:numRef>
          </c:val>
          <c:smooth val="0"/>
          <c:extLst>
            <c:ext xmlns:c16="http://schemas.microsoft.com/office/drawing/2014/chart" uri="{C3380CC4-5D6E-409C-BE32-E72D297353CC}">
              <c16:uniqueId val="{00000001-0EA3-2E4E-98F4-62C29FE2B467}"/>
            </c:ext>
          </c:extLst>
        </c:ser>
        <c:ser>
          <c:idx val="2"/>
          <c:order val="2"/>
          <c:tx>
            <c:v>10005 Third test</c:v>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'10006 Exhibit'!$L$3:$L$62</c:f>
              <c:numCache>
                <c:formatCode>General</c:formatCode>
                <c:ptCount val="60"/>
                <c:pt idx="0">
                  <c:v>-88</c:v>
                </c:pt>
                <c:pt idx="1">
                  <c:v>-88</c:v>
                </c:pt>
                <c:pt idx="2">
                  <c:v>-88</c:v>
                </c:pt>
                <c:pt idx="3">
                  <c:v>-81</c:v>
                </c:pt>
                <c:pt idx="6">
                  <c:v>-85</c:v>
                </c:pt>
                <c:pt idx="7">
                  <c:v>-80</c:v>
                </c:pt>
                <c:pt idx="8">
                  <c:v>-83</c:v>
                </c:pt>
                <c:pt idx="9">
                  <c:v>-83</c:v>
                </c:pt>
                <c:pt idx="10">
                  <c:v>-82</c:v>
                </c:pt>
                <c:pt idx="11">
                  <c:v>-82</c:v>
                </c:pt>
                <c:pt idx="12">
                  <c:v>-82</c:v>
                </c:pt>
                <c:pt idx="13">
                  <c:v>-82</c:v>
                </c:pt>
                <c:pt idx="14">
                  <c:v>-82</c:v>
                </c:pt>
                <c:pt idx="15">
                  <c:v>-82</c:v>
                </c:pt>
                <c:pt idx="16">
                  <c:v>-82</c:v>
                </c:pt>
                <c:pt idx="17">
                  <c:v>-81</c:v>
                </c:pt>
                <c:pt idx="18">
                  <c:v>-81</c:v>
                </c:pt>
                <c:pt idx="19">
                  <c:v>-81</c:v>
                </c:pt>
                <c:pt idx="20">
                  <c:v>-81</c:v>
                </c:pt>
                <c:pt idx="21">
                  <c:v>-81</c:v>
                </c:pt>
                <c:pt idx="22">
                  <c:v>-82</c:v>
                </c:pt>
                <c:pt idx="23">
                  <c:v>-82</c:v>
                </c:pt>
                <c:pt idx="24">
                  <c:v>-81</c:v>
                </c:pt>
                <c:pt idx="25">
                  <c:v>-81</c:v>
                </c:pt>
                <c:pt idx="26">
                  <c:v>-83</c:v>
                </c:pt>
                <c:pt idx="27">
                  <c:v>-81</c:v>
                </c:pt>
                <c:pt idx="28">
                  <c:v>-83</c:v>
                </c:pt>
                <c:pt idx="30">
                  <c:v>-82</c:v>
                </c:pt>
                <c:pt idx="31">
                  <c:v>-81</c:v>
                </c:pt>
                <c:pt idx="33">
                  <c:v>-79</c:v>
                </c:pt>
                <c:pt idx="34">
                  <c:v>-82</c:v>
                </c:pt>
                <c:pt idx="35">
                  <c:v>-80</c:v>
                </c:pt>
                <c:pt idx="36">
                  <c:v>-80</c:v>
                </c:pt>
                <c:pt idx="37">
                  <c:v>-81</c:v>
                </c:pt>
                <c:pt idx="38">
                  <c:v>-81</c:v>
                </c:pt>
                <c:pt idx="39">
                  <c:v>-81</c:v>
                </c:pt>
                <c:pt idx="40">
                  <c:v>-81</c:v>
                </c:pt>
                <c:pt idx="41">
                  <c:v>-80</c:v>
                </c:pt>
                <c:pt idx="42">
                  <c:v>-80</c:v>
                </c:pt>
                <c:pt idx="43">
                  <c:v>-80</c:v>
                </c:pt>
                <c:pt idx="44">
                  <c:v>-80</c:v>
                </c:pt>
                <c:pt idx="45">
                  <c:v>-80</c:v>
                </c:pt>
                <c:pt idx="46">
                  <c:v>-80</c:v>
                </c:pt>
                <c:pt idx="47">
                  <c:v>-81</c:v>
                </c:pt>
                <c:pt idx="48">
                  <c:v>-81</c:v>
                </c:pt>
                <c:pt idx="49">
                  <c:v>-82</c:v>
                </c:pt>
                <c:pt idx="50">
                  <c:v>-81</c:v>
                </c:pt>
                <c:pt idx="51">
                  <c:v>-82</c:v>
                </c:pt>
                <c:pt idx="52">
                  <c:v>-81</c:v>
                </c:pt>
                <c:pt idx="53">
                  <c:v>-82</c:v>
                </c:pt>
                <c:pt idx="54">
                  <c:v>-81</c:v>
                </c:pt>
                <c:pt idx="55">
                  <c:v>-82</c:v>
                </c:pt>
                <c:pt idx="56">
                  <c:v>-82</c:v>
                </c:pt>
                <c:pt idx="57">
                  <c:v>-84</c:v>
                </c:pt>
                <c:pt idx="58">
                  <c:v>-82</c:v>
                </c:pt>
                <c:pt idx="59">
                  <c:v>-82</c:v>
                </c:pt>
              </c:numCache>
            </c:numRef>
          </c:val>
          <c:smooth val="0"/>
          <c:extLst>
            <c:ext xmlns:c16="http://schemas.microsoft.com/office/drawing/2014/chart" uri="{C3380CC4-5D6E-409C-BE32-E72D297353CC}">
              <c16:uniqueId val="{00000002-0EA3-2E4E-98F4-62C29FE2B467}"/>
            </c:ext>
          </c:extLst>
        </c:ser>
        <c:dLbls>
          <c:dLblPos val="ctr"/>
          <c:showLegendKey val="0"/>
          <c:showVal val="1"/>
          <c:showCatName val="0"/>
          <c:showSerName val="0"/>
          <c:showPercent val="0"/>
          <c:showBubbleSize val="0"/>
        </c:dLbls>
        <c:smooth val="0"/>
        <c:axId val="1215183"/>
        <c:axId val="1216863"/>
      </c:lineChart>
      <c:catAx>
        <c:axId val="12151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6863"/>
        <c:crosses val="autoZero"/>
        <c:auto val="1"/>
        <c:lblAlgn val="ctr"/>
        <c:lblOffset val="100"/>
        <c:noMultiLvlLbl val="0"/>
      </c:catAx>
      <c:valAx>
        <c:axId val="1216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5183"/>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All 10006 Exhibit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2.8678194345025054E-2"/>
          <c:y val="7.6361904761904756E-2"/>
          <c:w val="0.95995816929133859"/>
          <c:h val="0.90839999999999999"/>
        </c:manualLayout>
      </c:layout>
      <c:lineChart>
        <c:grouping val="standard"/>
        <c:varyColors val="0"/>
        <c:ser>
          <c:idx val="0"/>
          <c:order val="0"/>
          <c:tx>
            <c:v>10006 First test</c:v>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'10004 Exhibit'!$M$3:$M$62</c:f>
              <c:numCache>
                <c:formatCode>General</c:formatCode>
                <c:ptCount val="60"/>
                <c:pt idx="1">
                  <c:v>-94</c:v>
                </c:pt>
                <c:pt idx="4">
                  <c:v>-96</c:v>
                </c:pt>
                <c:pt idx="5">
                  <c:v>-96</c:v>
                </c:pt>
                <c:pt idx="19">
                  <c:v>-98</c:v>
                </c:pt>
                <c:pt idx="21">
                  <c:v>-96</c:v>
                </c:pt>
                <c:pt idx="28">
                  <c:v>-94</c:v>
                </c:pt>
                <c:pt idx="29">
                  <c:v>-94</c:v>
                </c:pt>
                <c:pt idx="38">
                  <c:v>-91</c:v>
                </c:pt>
                <c:pt idx="44">
                  <c:v>-97</c:v>
                </c:pt>
                <c:pt idx="45">
                  <c:v>-97</c:v>
                </c:pt>
                <c:pt idx="48">
                  <c:v>-96</c:v>
                </c:pt>
                <c:pt idx="49">
                  <c:v>-94</c:v>
                </c:pt>
                <c:pt idx="50">
                  <c:v>-93</c:v>
                </c:pt>
                <c:pt idx="51">
                  <c:v>-94</c:v>
                </c:pt>
                <c:pt idx="52">
                  <c:v>-94</c:v>
                </c:pt>
                <c:pt idx="55">
                  <c:v>-93</c:v>
                </c:pt>
                <c:pt idx="59">
                  <c:v>-94</c:v>
                </c:pt>
              </c:numCache>
            </c:numRef>
          </c:val>
          <c:smooth val="0"/>
          <c:extLst>
            <c:ext xmlns:c16="http://schemas.microsoft.com/office/drawing/2014/chart" uri="{C3380CC4-5D6E-409C-BE32-E72D297353CC}">
              <c16:uniqueId val="{00000000-E63D-D44A-B98D-D0B5D59F9214}"/>
            </c:ext>
          </c:extLst>
        </c:ser>
        <c:ser>
          <c:idx val="1"/>
          <c:order val="1"/>
          <c:tx>
            <c:v>10006 Second test</c:v>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'10005 Exhibit'!$M$3:$M$62</c:f>
              <c:numCache>
                <c:formatCode>General</c:formatCode>
                <c:ptCount val="60"/>
                <c:pt idx="0">
                  <c:v>-83</c:v>
                </c:pt>
                <c:pt idx="1">
                  <c:v>-79</c:v>
                </c:pt>
                <c:pt idx="2">
                  <c:v>-87</c:v>
                </c:pt>
                <c:pt idx="3">
                  <c:v>-86</c:v>
                </c:pt>
                <c:pt idx="5">
                  <c:v>-87</c:v>
                </c:pt>
                <c:pt idx="6">
                  <c:v>-90</c:v>
                </c:pt>
                <c:pt idx="7">
                  <c:v>-87</c:v>
                </c:pt>
                <c:pt idx="8">
                  <c:v>-86</c:v>
                </c:pt>
                <c:pt idx="9">
                  <c:v>-88</c:v>
                </c:pt>
                <c:pt idx="10">
                  <c:v>-90</c:v>
                </c:pt>
                <c:pt idx="11">
                  <c:v>-90</c:v>
                </c:pt>
                <c:pt idx="12">
                  <c:v>-89</c:v>
                </c:pt>
                <c:pt idx="13">
                  <c:v>-90</c:v>
                </c:pt>
                <c:pt idx="14">
                  <c:v>-91</c:v>
                </c:pt>
                <c:pt idx="15">
                  <c:v>-90</c:v>
                </c:pt>
                <c:pt idx="16">
                  <c:v>-91</c:v>
                </c:pt>
                <c:pt idx="17">
                  <c:v>-93</c:v>
                </c:pt>
                <c:pt idx="22">
                  <c:v>-87</c:v>
                </c:pt>
                <c:pt idx="23">
                  <c:v>-92</c:v>
                </c:pt>
                <c:pt idx="24">
                  <c:v>-91</c:v>
                </c:pt>
                <c:pt idx="25">
                  <c:v>-93</c:v>
                </c:pt>
                <c:pt idx="28">
                  <c:v>-92</c:v>
                </c:pt>
                <c:pt idx="29">
                  <c:v>-91</c:v>
                </c:pt>
                <c:pt idx="30">
                  <c:v>-86</c:v>
                </c:pt>
                <c:pt idx="31">
                  <c:v>-86</c:v>
                </c:pt>
                <c:pt idx="32">
                  <c:v>-87</c:v>
                </c:pt>
                <c:pt idx="33">
                  <c:v>-87</c:v>
                </c:pt>
                <c:pt idx="34">
                  <c:v>-88</c:v>
                </c:pt>
                <c:pt idx="35">
                  <c:v>-93</c:v>
                </c:pt>
                <c:pt idx="36">
                  <c:v>-85</c:v>
                </c:pt>
                <c:pt idx="37">
                  <c:v>-85</c:v>
                </c:pt>
                <c:pt idx="38">
                  <c:v>-84</c:v>
                </c:pt>
                <c:pt idx="39">
                  <c:v>-84</c:v>
                </c:pt>
                <c:pt idx="40">
                  <c:v>-85</c:v>
                </c:pt>
                <c:pt idx="41">
                  <c:v>-84</c:v>
                </c:pt>
                <c:pt idx="43">
                  <c:v>-91</c:v>
                </c:pt>
                <c:pt idx="44">
                  <c:v>-93</c:v>
                </c:pt>
                <c:pt idx="45">
                  <c:v>-82</c:v>
                </c:pt>
                <c:pt idx="46">
                  <c:v>-89</c:v>
                </c:pt>
                <c:pt idx="47">
                  <c:v>-80</c:v>
                </c:pt>
                <c:pt idx="51">
                  <c:v>-87</c:v>
                </c:pt>
                <c:pt idx="52">
                  <c:v>-87</c:v>
                </c:pt>
                <c:pt idx="53">
                  <c:v>-91</c:v>
                </c:pt>
                <c:pt idx="54">
                  <c:v>-91</c:v>
                </c:pt>
                <c:pt idx="55">
                  <c:v>-91</c:v>
                </c:pt>
                <c:pt idx="56">
                  <c:v>-86</c:v>
                </c:pt>
                <c:pt idx="57">
                  <c:v>-83</c:v>
                </c:pt>
                <c:pt idx="58">
                  <c:v>-84</c:v>
                </c:pt>
                <c:pt idx="59">
                  <c:v>-88</c:v>
                </c:pt>
              </c:numCache>
            </c:numRef>
          </c:val>
          <c:smooth val="0"/>
          <c:extLst>
            <c:ext xmlns:c16="http://schemas.microsoft.com/office/drawing/2014/chart" uri="{C3380CC4-5D6E-409C-BE32-E72D297353CC}">
              <c16:uniqueId val="{00000001-E63D-D44A-B98D-D0B5D59F9214}"/>
            </c:ext>
          </c:extLst>
        </c:ser>
        <c:ser>
          <c:idx val="2"/>
          <c:order val="2"/>
          <c:tx>
            <c:v>10006 Third test</c:v>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'10006 Exhibit'!$M$3:$M$62</c:f>
              <c:numCache>
                <c:formatCode>General</c:formatCode>
                <c:ptCount val="60"/>
                <c:pt idx="0">
                  <c:v>-47</c:v>
                </c:pt>
                <c:pt idx="1">
                  <c:v>-46</c:v>
                </c:pt>
                <c:pt idx="2">
                  <c:v>-46</c:v>
                </c:pt>
                <c:pt idx="3">
                  <c:v>-46</c:v>
                </c:pt>
                <c:pt idx="4">
                  <c:v>-44</c:v>
                </c:pt>
                <c:pt idx="5">
                  <c:v>-45</c:v>
                </c:pt>
                <c:pt idx="6">
                  <c:v>-46</c:v>
                </c:pt>
                <c:pt idx="7">
                  <c:v>-46</c:v>
                </c:pt>
                <c:pt idx="8">
                  <c:v>-46</c:v>
                </c:pt>
                <c:pt idx="9">
                  <c:v>-45</c:v>
                </c:pt>
                <c:pt idx="10">
                  <c:v>-45</c:v>
                </c:pt>
                <c:pt idx="11">
                  <c:v>-45</c:v>
                </c:pt>
                <c:pt idx="12">
                  <c:v>-45</c:v>
                </c:pt>
                <c:pt idx="13">
                  <c:v>-45</c:v>
                </c:pt>
                <c:pt idx="14">
                  <c:v>-45</c:v>
                </c:pt>
                <c:pt idx="15">
                  <c:v>-46</c:v>
                </c:pt>
                <c:pt idx="16">
                  <c:v>-45</c:v>
                </c:pt>
                <c:pt idx="17">
                  <c:v>-46</c:v>
                </c:pt>
                <c:pt idx="18">
                  <c:v>-46</c:v>
                </c:pt>
                <c:pt idx="19">
                  <c:v>-46</c:v>
                </c:pt>
                <c:pt idx="20">
                  <c:v>-46</c:v>
                </c:pt>
                <c:pt idx="21">
                  <c:v>-46</c:v>
                </c:pt>
                <c:pt idx="23">
                  <c:v>-46</c:v>
                </c:pt>
                <c:pt idx="24">
                  <c:v>-46</c:v>
                </c:pt>
                <c:pt idx="25">
                  <c:v>-45</c:v>
                </c:pt>
                <c:pt idx="26">
                  <c:v>-45</c:v>
                </c:pt>
                <c:pt idx="27">
                  <c:v>-46</c:v>
                </c:pt>
                <c:pt idx="28">
                  <c:v>-46</c:v>
                </c:pt>
                <c:pt idx="29">
                  <c:v>-46</c:v>
                </c:pt>
                <c:pt idx="30">
                  <c:v>-46</c:v>
                </c:pt>
                <c:pt idx="31">
                  <c:v>-45</c:v>
                </c:pt>
                <c:pt idx="32">
                  <c:v>-45</c:v>
                </c:pt>
                <c:pt idx="33">
                  <c:v>-45</c:v>
                </c:pt>
                <c:pt idx="34">
                  <c:v>-45</c:v>
                </c:pt>
                <c:pt idx="35">
                  <c:v>-45</c:v>
                </c:pt>
                <c:pt idx="36">
                  <c:v>-45</c:v>
                </c:pt>
                <c:pt idx="38">
                  <c:v>-45</c:v>
                </c:pt>
                <c:pt idx="39">
                  <c:v>-46</c:v>
                </c:pt>
                <c:pt idx="40">
                  <c:v>-45</c:v>
                </c:pt>
                <c:pt idx="42">
                  <c:v>-45</c:v>
                </c:pt>
                <c:pt idx="43">
                  <c:v>-46</c:v>
                </c:pt>
                <c:pt idx="44">
                  <c:v>-45</c:v>
                </c:pt>
                <c:pt idx="45">
                  <c:v>-46</c:v>
                </c:pt>
                <c:pt idx="46">
                  <c:v>-45</c:v>
                </c:pt>
                <c:pt idx="47">
                  <c:v>-46</c:v>
                </c:pt>
                <c:pt idx="48">
                  <c:v>-45</c:v>
                </c:pt>
                <c:pt idx="49">
                  <c:v>-45</c:v>
                </c:pt>
                <c:pt idx="50">
                  <c:v>-45</c:v>
                </c:pt>
                <c:pt idx="51">
                  <c:v>-45</c:v>
                </c:pt>
                <c:pt idx="52">
                  <c:v>-45</c:v>
                </c:pt>
                <c:pt idx="53">
                  <c:v>-45</c:v>
                </c:pt>
                <c:pt idx="54">
                  <c:v>-45</c:v>
                </c:pt>
                <c:pt idx="55">
                  <c:v>-45</c:v>
                </c:pt>
                <c:pt idx="56">
                  <c:v>-45</c:v>
                </c:pt>
                <c:pt idx="57">
                  <c:v>-45</c:v>
                </c:pt>
                <c:pt idx="58">
                  <c:v>-45</c:v>
                </c:pt>
                <c:pt idx="59">
                  <c:v>-45</c:v>
                </c:pt>
              </c:numCache>
            </c:numRef>
          </c:val>
          <c:smooth val="0"/>
          <c:extLst>
            <c:ext xmlns:c16="http://schemas.microsoft.com/office/drawing/2014/chart" uri="{C3380CC4-5D6E-409C-BE32-E72D297353CC}">
              <c16:uniqueId val="{00000002-E63D-D44A-B98D-D0B5D59F9214}"/>
            </c:ext>
          </c:extLst>
        </c:ser>
        <c:dLbls>
          <c:dLblPos val="ctr"/>
          <c:showLegendKey val="0"/>
          <c:showVal val="1"/>
          <c:showCatName val="0"/>
          <c:showSerName val="0"/>
          <c:showPercent val="0"/>
          <c:showBubbleSize val="0"/>
        </c:dLbls>
        <c:smooth val="0"/>
        <c:axId val="1215183"/>
        <c:axId val="1216863"/>
      </c:lineChart>
      <c:catAx>
        <c:axId val="12151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6863"/>
        <c:crosses val="autoZero"/>
        <c:auto val="1"/>
        <c:lblAlgn val="ctr"/>
        <c:lblOffset val="100"/>
        <c:noMultiLvlLbl val="0"/>
      </c:catAx>
      <c:valAx>
        <c:axId val="1216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5183"/>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Walk</a:t>
            </a:r>
            <a:r>
              <a:rPr lang="en-US" baseline="0"/>
              <a:t> about Overview</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'Walk About'!$K$1</c:f>
              <c:strCache>
                <c:ptCount val="1"/>
                <c:pt idx="0">
                  <c:v>10004</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'Walk About'!$K$3:$K$122</c:f>
              <c:numCache>
                <c:formatCode>General</c:formatCode>
                <c:ptCount val="120"/>
                <c:pt idx="0">
                  <c:v>-60</c:v>
                </c:pt>
                <c:pt idx="1">
                  <c:v>-60</c:v>
                </c:pt>
                <c:pt idx="2">
                  <c:v>-54</c:v>
                </c:pt>
                <c:pt idx="4">
                  <c:v>-61</c:v>
                </c:pt>
                <c:pt idx="5">
                  <c:v>-54</c:v>
                </c:pt>
                <c:pt idx="7">
                  <c:v>-51</c:v>
                </c:pt>
                <c:pt idx="8">
                  <c:v>-67</c:v>
                </c:pt>
                <c:pt idx="9">
                  <c:v>-70</c:v>
                </c:pt>
                <c:pt idx="10">
                  <c:v>-67</c:v>
                </c:pt>
                <c:pt idx="11">
                  <c:v>-64</c:v>
                </c:pt>
                <c:pt idx="12">
                  <c:v>-64</c:v>
                </c:pt>
                <c:pt idx="13">
                  <c:v>-63</c:v>
                </c:pt>
                <c:pt idx="14">
                  <c:v>-63</c:v>
                </c:pt>
                <c:pt idx="15">
                  <c:v>-63</c:v>
                </c:pt>
                <c:pt idx="16">
                  <c:v>-62</c:v>
                </c:pt>
                <c:pt idx="17">
                  <c:v>-60</c:v>
                </c:pt>
                <c:pt idx="18">
                  <c:v>-60</c:v>
                </c:pt>
                <c:pt idx="19">
                  <c:v>-59</c:v>
                </c:pt>
                <c:pt idx="20">
                  <c:v>-63</c:v>
                </c:pt>
                <c:pt idx="21">
                  <c:v>-63</c:v>
                </c:pt>
                <c:pt idx="22">
                  <c:v>-61</c:v>
                </c:pt>
                <c:pt idx="23">
                  <c:v>-61</c:v>
                </c:pt>
                <c:pt idx="24">
                  <c:v>-62</c:v>
                </c:pt>
                <c:pt idx="28">
                  <c:v>-71</c:v>
                </c:pt>
                <c:pt idx="30">
                  <c:v>-74</c:v>
                </c:pt>
                <c:pt idx="31">
                  <c:v>-71</c:v>
                </c:pt>
                <c:pt idx="34">
                  <c:v>-94</c:v>
                </c:pt>
                <c:pt idx="35">
                  <c:v>-94</c:v>
                </c:pt>
                <c:pt idx="36">
                  <c:v>-94</c:v>
                </c:pt>
                <c:pt idx="37">
                  <c:v>-88</c:v>
                </c:pt>
                <c:pt idx="38">
                  <c:v>-88</c:v>
                </c:pt>
                <c:pt idx="39">
                  <c:v>-89</c:v>
                </c:pt>
                <c:pt idx="40">
                  <c:v>-89</c:v>
                </c:pt>
                <c:pt idx="41">
                  <c:v>-94</c:v>
                </c:pt>
                <c:pt idx="42">
                  <c:v>-85</c:v>
                </c:pt>
                <c:pt idx="43">
                  <c:v>-86</c:v>
                </c:pt>
                <c:pt idx="44">
                  <c:v>-87</c:v>
                </c:pt>
                <c:pt idx="45">
                  <c:v>-85</c:v>
                </c:pt>
                <c:pt idx="47">
                  <c:v>-92</c:v>
                </c:pt>
                <c:pt idx="51">
                  <c:v>-92</c:v>
                </c:pt>
                <c:pt idx="53">
                  <c:v>-91</c:v>
                </c:pt>
                <c:pt idx="57">
                  <c:v>-89</c:v>
                </c:pt>
                <c:pt idx="58">
                  <c:v>-89</c:v>
                </c:pt>
                <c:pt idx="60">
                  <c:v>-96</c:v>
                </c:pt>
                <c:pt idx="61">
                  <c:v>-95</c:v>
                </c:pt>
                <c:pt idx="62">
                  <c:v>-90</c:v>
                </c:pt>
                <c:pt idx="63">
                  <c:v>-88</c:v>
                </c:pt>
                <c:pt idx="65">
                  <c:v>-90</c:v>
                </c:pt>
                <c:pt idx="66">
                  <c:v>-91</c:v>
                </c:pt>
                <c:pt idx="67">
                  <c:v>-91</c:v>
                </c:pt>
                <c:pt idx="68">
                  <c:v>-90</c:v>
                </c:pt>
                <c:pt idx="69">
                  <c:v>-86</c:v>
                </c:pt>
                <c:pt idx="72">
                  <c:v>-89</c:v>
                </c:pt>
                <c:pt idx="73">
                  <c:v>-91</c:v>
                </c:pt>
                <c:pt idx="74">
                  <c:v>-89</c:v>
                </c:pt>
                <c:pt idx="76">
                  <c:v>-87</c:v>
                </c:pt>
                <c:pt idx="79">
                  <c:v>-90</c:v>
                </c:pt>
                <c:pt idx="80">
                  <c:v>-90</c:v>
                </c:pt>
                <c:pt idx="81">
                  <c:v>-92</c:v>
                </c:pt>
                <c:pt idx="85">
                  <c:v>-84</c:v>
                </c:pt>
                <c:pt idx="86">
                  <c:v>-86</c:v>
                </c:pt>
                <c:pt idx="87">
                  <c:v>-91</c:v>
                </c:pt>
                <c:pt idx="88">
                  <c:v>-92</c:v>
                </c:pt>
                <c:pt idx="89">
                  <c:v>-85</c:v>
                </c:pt>
                <c:pt idx="90">
                  <c:v>-86</c:v>
                </c:pt>
                <c:pt idx="91">
                  <c:v>-91</c:v>
                </c:pt>
                <c:pt idx="92">
                  <c:v>-86</c:v>
                </c:pt>
                <c:pt idx="93">
                  <c:v>-88</c:v>
                </c:pt>
                <c:pt idx="94">
                  <c:v>-87</c:v>
                </c:pt>
                <c:pt idx="95">
                  <c:v>-94</c:v>
                </c:pt>
                <c:pt idx="96">
                  <c:v>-88</c:v>
                </c:pt>
                <c:pt idx="99">
                  <c:v>-93</c:v>
                </c:pt>
                <c:pt idx="101">
                  <c:v>-88</c:v>
                </c:pt>
                <c:pt idx="102">
                  <c:v>-89</c:v>
                </c:pt>
                <c:pt idx="103">
                  <c:v>-88</c:v>
                </c:pt>
                <c:pt idx="104">
                  <c:v>-87</c:v>
                </c:pt>
                <c:pt idx="105">
                  <c:v>-96</c:v>
                </c:pt>
                <c:pt idx="106">
                  <c:v>-96</c:v>
                </c:pt>
                <c:pt idx="107">
                  <c:v>-86</c:v>
                </c:pt>
                <c:pt idx="108">
                  <c:v>-86</c:v>
                </c:pt>
                <c:pt idx="109">
                  <c:v>-90</c:v>
                </c:pt>
                <c:pt idx="110">
                  <c:v>-94</c:v>
                </c:pt>
                <c:pt idx="111">
                  <c:v>-94</c:v>
                </c:pt>
                <c:pt idx="112">
                  <c:v>-94</c:v>
                </c:pt>
                <c:pt idx="113">
                  <c:v>-94</c:v>
                </c:pt>
                <c:pt idx="116">
                  <c:v>-93</c:v>
                </c:pt>
                <c:pt idx="118">
                  <c:v>-90</c:v>
                </c:pt>
                <c:pt idx="119">
                  <c:v>-90</c:v>
                </c:pt>
              </c:numCache>
            </c:numRef>
          </c:val>
          <c:smooth val="0"/>
          <c:extLst>
            <c:ext xmlns:c16="http://schemas.microsoft.com/office/drawing/2014/chart" uri="{C3380CC4-5D6E-409C-BE32-E72D297353CC}">
              <c16:uniqueId val="{00000000-E112-754F-B462-55B1106EEAE9}"/>
            </c:ext>
          </c:extLst>
        </c:ser>
        <c:ser>
          <c:idx val="1"/>
          <c:order val="1"/>
          <c:tx>
            <c:strRef>
              <c:f>'Walk About'!$L$1</c:f>
              <c:strCache>
                <c:ptCount val="1"/>
                <c:pt idx="0">
                  <c:v>10005</c:v>
                </c:pt>
              </c:strCache>
            </c:strRef>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'Walk About'!$L$3:$L$122</c:f>
              <c:numCache>
                <c:formatCode>General</c:formatCode>
                <c:ptCount val="120"/>
                <c:pt idx="0">
                  <c:v>-87</c:v>
                </c:pt>
                <c:pt idx="1">
                  <c:v>-87</c:v>
                </c:pt>
                <c:pt idx="2">
                  <c:v>-88</c:v>
                </c:pt>
                <c:pt idx="3">
                  <c:v>-88</c:v>
                </c:pt>
                <c:pt idx="4">
                  <c:v>-85</c:v>
                </c:pt>
                <c:pt idx="5">
                  <c:v>-85</c:v>
                </c:pt>
                <c:pt idx="6">
                  <c:v>-92</c:v>
                </c:pt>
                <c:pt idx="7">
                  <c:v>-86</c:v>
                </c:pt>
                <c:pt idx="8">
                  <c:v>-86</c:v>
                </c:pt>
                <c:pt idx="9">
                  <c:v>-87</c:v>
                </c:pt>
                <c:pt idx="10">
                  <c:v>-90</c:v>
                </c:pt>
                <c:pt idx="12">
                  <c:v>-87</c:v>
                </c:pt>
                <c:pt idx="14">
                  <c:v>-86</c:v>
                </c:pt>
                <c:pt idx="20">
                  <c:v>-82</c:v>
                </c:pt>
                <c:pt idx="22">
                  <c:v>-93</c:v>
                </c:pt>
                <c:pt idx="24">
                  <c:v>-93</c:v>
                </c:pt>
                <c:pt idx="27">
                  <c:v>-85</c:v>
                </c:pt>
                <c:pt idx="28">
                  <c:v>-81</c:v>
                </c:pt>
                <c:pt idx="29">
                  <c:v>-81</c:v>
                </c:pt>
                <c:pt idx="30">
                  <c:v>-89</c:v>
                </c:pt>
                <c:pt idx="31">
                  <c:v>-89</c:v>
                </c:pt>
                <c:pt idx="32">
                  <c:v>-85</c:v>
                </c:pt>
                <c:pt idx="33">
                  <c:v>-86</c:v>
                </c:pt>
                <c:pt idx="34">
                  <c:v>-86</c:v>
                </c:pt>
                <c:pt idx="35">
                  <c:v>-85</c:v>
                </c:pt>
                <c:pt idx="36">
                  <c:v>-74</c:v>
                </c:pt>
                <c:pt idx="37">
                  <c:v>-73</c:v>
                </c:pt>
                <c:pt idx="38">
                  <c:v>-67</c:v>
                </c:pt>
                <c:pt idx="39">
                  <c:v>-62</c:v>
                </c:pt>
                <c:pt idx="40">
                  <c:v>-62</c:v>
                </c:pt>
                <c:pt idx="41">
                  <c:v>-63</c:v>
                </c:pt>
                <c:pt idx="43">
                  <c:v>-53</c:v>
                </c:pt>
                <c:pt idx="44">
                  <c:v>-50</c:v>
                </c:pt>
                <c:pt idx="45">
                  <c:v>-48</c:v>
                </c:pt>
                <c:pt idx="46">
                  <c:v>-68</c:v>
                </c:pt>
                <c:pt idx="47">
                  <c:v>-71</c:v>
                </c:pt>
                <c:pt idx="48">
                  <c:v>-68</c:v>
                </c:pt>
                <c:pt idx="49">
                  <c:v>-70</c:v>
                </c:pt>
                <c:pt idx="50">
                  <c:v>-68</c:v>
                </c:pt>
                <c:pt idx="51">
                  <c:v>-70</c:v>
                </c:pt>
                <c:pt idx="52">
                  <c:v>-69</c:v>
                </c:pt>
                <c:pt idx="53">
                  <c:v>-69</c:v>
                </c:pt>
                <c:pt idx="54">
                  <c:v>-70</c:v>
                </c:pt>
                <c:pt idx="55">
                  <c:v>-58</c:v>
                </c:pt>
                <c:pt idx="56">
                  <c:v>-55</c:v>
                </c:pt>
                <c:pt idx="57">
                  <c:v>-53</c:v>
                </c:pt>
                <c:pt idx="58">
                  <c:v>-53</c:v>
                </c:pt>
                <c:pt idx="59">
                  <c:v>-64</c:v>
                </c:pt>
                <c:pt idx="60">
                  <c:v>-64</c:v>
                </c:pt>
                <c:pt idx="61">
                  <c:v>-67</c:v>
                </c:pt>
                <c:pt idx="62">
                  <c:v>-69</c:v>
                </c:pt>
                <c:pt idx="63">
                  <c:v>-63</c:v>
                </c:pt>
                <c:pt idx="64">
                  <c:v>-63</c:v>
                </c:pt>
                <c:pt idx="65">
                  <c:v>-76</c:v>
                </c:pt>
                <c:pt idx="66">
                  <c:v>-66</c:v>
                </c:pt>
                <c:pt idx="67">
                  <c:v>-63</c:v>
                </c:pt>
                <c:pt idx="72">
                  <c:v>-65</c:v>
                </c:pt>
                <c:pt idx="73">
                  <c:v>-67</c:v>
                </c:pt>
                <c:pt idx="74">
                  <c:v>-65</c:v>
                </c:pt>
                <c:pt idx="75">
                  <c:v>-64</c:v>
                </c:pt>
                <c:pt idx="76">
                  <c:v>-57</c:v>
                </c:pt>
                <c:pt idx="77">
                  <c:v>-57</c:v>
                </c:pt>
                <c:pt idx="78">
                  <c:v>-59</c:v>
                </c:pt>
                <c:pt idx="79">
                  <c:v>-60</c:v>
                </c:pt>
                <c:pt idx="80">
                  <c:v>-67</c:v>
                </c:pt>
                <c:pt idx="81">
                  <c:v>-67</c:v>
                </c:pt>
                <c:pt idx="83">
                  <c:v>-65</c:v>
                </c:pt>
                <c:pt idx="84">
                  <c:v>-68</c:v>
                </c:pt>
                <c:pt idx="85">
                  <c:v>-84</c:v>
                </c:pt>
                <c:pt idx="86">
                  <c:v>-89</c:v>
                </c:pt>
                <c:pt idx="88">
                  <c:v>-79</c:v>
                </c:pt>
                <c:pt idx="89">
                  <c:v>-85</c:v>
                </c:pt>
                <c:pt idx="90">
                  <c:v>-83</c:v>
                </c:pt>
                <c:pt idx="91">
                  <c:v>-73</c:v>
                </c:pt>
                <c:pt idx="94">
                  <c:v>-81</c:v>
                </c:pt>
                <c:pt idx="95">
                  <c:v>-80</c:v>
                </c:pt>
                <c:pt idx="96">
                  <c:v>-81</c:v>
                </c:pt>
                <c:pt idx="97">
                  <c:v>-81</c:v>
                </c:pt>
                <c:pt idx="99">
                  <c:v>-78</c:v>
                </c:pt>
                <c:pt idx="100">
                  <c:v>-78</c:v>
                </c:pt>
                <c:pt idx="101">
                  <c:v>-84</c:v>
                </c:pt>
                <c:pt idx="102">
                  <c:v>-86</c:v>
                </c:pt>
                <c:pt idx="103">
                  <c:v>-78</c:v>
                </c:pt>
                <c:pt idx="104">
                  <c:v>-78</c:v>
                </c:pt>
                <c:pt idx="105">
                  <c:v>-84</c:v>
                </c:pt>
                <c:pt idx="106">
                  <c:v>-78</c:v>
                </c:pt>
                <c:pt idx="107">
                  <c:v>-78</c:v>
                </c:pt>
                <c:pt idx="108">
                  <c:v>-87</c:v>
                </c:pt>
                <c:pt idx="109">
                  <c:v>-83</c:v>
                </c:pt>
                <c:pt idx="112">
                  <c:v>-86</c:v>
                </c:pt>
                <c:pt idx="113">
                  <c:v>-90</c:v>
                </c:pt>
                <c:pt idx="114">
                  <c:v>-83</c:v>
                </c:pt>
                <c:pt idx="115">
                  <c:v>-93</c:v>
                </c:pt>
                <c:pt idx="116">
                  <c:v>-88</c:v>
                </c:pt>
                <c:pt idx="117">
                  <c:v>-93</c:v>
                </c:pt>
                <c:pt idx="118">
                  <c:v>-89</c:v>
                </c:pt>
                <c:pt idx="119">
                  <c:v>-89</c:v>
                </c:pt>
              </c:numCache>
            </c:numRef>
          </c:val>
          <c:smooth val="0"/>
          <c:extLst>
            <c:ext xmlns:c16="http://schemas.microsoft.com/office/drawing/2014/chart" uri="{C3380CC4-5D6E-409C-BE32-E72D297353CC}">
              <c16:uniqueId val="{00000001-E112-754F-B462-55B1106EEAE9}"/>
            </c:ext>
          </c:extLst>
        </c:ser>
        <c:ser>
          <c:idx val="2"/>
          <c:order val="2"/>
          <c:tx>
            <c:strRef>
              <c:f>'Walk About'!$M$1</c:f>
              <c:strCache>
                <c:ptCount val="1"/>
                <c:pt idx="0">
                  <c:v>10006</c:v>
                </c:pt>
              </c:strCache>
            </c:strRef>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'Walk About'!$M$3:$M$122</c:f>
              <c:numCache>
                <c:formatCode>General</c:formatCode>
                <c:ptCount val="120"/>
                <c:pt idx="6">
                  <c:v>-95</c:v>
                </c:pt>
                <c:pt idx="9">
                  <c:v>-92</c:v>
                </c:pt>
                <c:pt idx="12">
                  <c:v>-90</c:v>
                </c:pt>
                <c:pt idx="13">
                  <c:v>-90</c:v>
                </c:pt>
                <c:pt idx="14">
                  <c:v>-96</c:v>
                </c:pt>
                <c:pt idx="15">
                  <c:v>-96</c:v>
                </c:pt>
                <c:pt idx="20">
                  <c:v>-97</c:v>
                </c:pt>
                <c:pt idx="21">
                  <c:v>-97</c:v>
                </c:pt>
                <c:pt idx="26">
                  <c:v>-86</c:v>
                </c:pt>
                <c:pt idx="27">
                  <c:v>-90</c:v>
                </c:pt>
                <c:pt idx="29">
                  <c:v>-88</c:v>
                </c:pt>
                <c:pt idx="31">
                  <c:v>-86</c:v>
                </c:pt>
                <c:pt idx="34">
                  <c:v>-88</c:v>
                </c:pt>
                <c:pt idx="35">
                  <c:v>-89</c:v>
                </c:pt>
                <c:pt idx="36">
                  <c:v>-84</c:v>
                </c:pt>
                <c:pt idx="37">
                  <c:v>-90</c:v>
                </c:pt>
                <c:pt idx="38">
                  <c:v>-84</c:v>
                </c:pt>
                <c:pt idx="39">
                  <c:v>-90</c:v>
                </c:pt>
                <c:pt idx="40">
                  <c:v>-87</c:v>
                </c:pt>
                <c:pt idx="41">
                  <c:v>-86</c:v>
                </c:pt>
                <c:pt idx="45">
                  <c:v>-94</c:v>
                </c:pt>
                <c:pt idx="46">
                  <c:v>-93</c:v>
                </c:pt>
                <c:pt idx="47">
                  <c:v>-91</c:v>
                </c:pt>
                <c:pt idx="48">
                  <c:v>-90</c:v>
                </c:pt>
                <c:pt idx="51">
                  <c:v>-93</c:v>
                </c:pt>
                <c:pt idx="52">
                  <c:v>-92</c:v>
                </c:pt>
                <c:pt idx="53">
                  <c:v>-92</c:v>
                </c:pt>
                <c:pt idx="54">
                  <c:v>-93</c:v>
                </c:pt>
                <c:pt idx="56">
                  <c:v>-93</c:v>
                </c:pt>
                <c:pt idx="58">
                  <c:v>-95</c:v>
                </c:pt>
                <c:pt idx="59">
                  <c:v>-92</c:v>
                </c:pt>
                <c:pt idx="60">
                  <c:v>-90</c:v>
                </c:pt>
                <c:pt idx="61">
                  <c:v>-94</c:v>
                </c:pt>
                <c:pt idx="62">
                  <c:v>-91</c:v>
                </c:pt>
                <c:pt idx="63">
                  <c:v>-92</c:v>
                </c:pt>
                <c:pt idx="64">
                  <c:v>-90</c:v>
                </c:pt>
                <c:pt idx="65">
                  <c:v>-90</c:v>
                </c:pt>
                <c:pt idx="66">
                  <c:v>-90</c:v>
                </c:pt>
                <c:pt idx="70">
                  <c:v>-93</c:v>
                </c:pt>
                <c:pt idx="71">
                  <c:v>-93</c:v>
                </c:pt>
                <c:pt idx="72">
                  <c:v>-90</c:v>
                </c:pt>
                <c:pt idx="73">
                  <c:v>-91</c:v>
                </c:pt>
                <c:pt idx="74">
                  <c:v>-94</c:v>
                </c:pt>
                <c:pt idx="83">
                  <c:v>-91</c:v>
                </c:pt>
                <c:pt idx="86">
                  <c:v>-91</c:v>
                </c:pt>
                <c:pt idx="87">
                  <c:v>-91</c:v>
                </c:pt>
                <c:pt idx="88">
                  <c:v>-81</c:v>
                </c:pt>
                <c:pt idx="89">
                  <c:v>-81</c:v>
                </c:pt>
                <c:pt idx="90">
                  <c:v>-79</c:v>
                </c:pt>
                <c:pt idx="91">
                  <c:v>-74</c:v>
                </c:pt>
                <c:pt idx="92">
                  <c:v>-63</c:v>
                </c:pt>
                <c:pt idx="93">
                  <c:v>-55</c:v>
                </c:pt>
                <c:pt idx="94">
                  <c:v>-55</c:v>
                </c:pt>
                <c:pt idx="96">
                  <c:v>-75</c:v>
                </c:pt>
                <c:pt idx="97">
                  <c:v>-71</c:v>
                </c:pt>
                <c:pt idx="98">
                  <c:v>-71</c:v>
                </c:pt>
                <c:pt idx="99">
                  <c:v>-70</c:v>
                </c:pt>
                <c:pt idx="101">
                  <c:v>-54</c:v>
                </c:pt>
                <c:pt idx="103">
                  <c:v>-55</c:v>
                </c:pt>
                <c:pt idx="104">
                  <c:v>-68</c:v>
                </c:pt>
                <c:pt idx="105">
                  <c:v>-80</c:v>
                </c:pt>
                <c:pt idx="106">
                  <c:v>-81</c:v>
                </c:pt>
                <c:pt idx="108">
                  <c:v>-47</c:v>
                </c:pt>
                <c:pt idx="109">
                  <c:v>-44</c:v>
                </c:pt>
                <c:pt idx="110">
                  <c:v>-45</c:v>
                </c:pt>
                <c:pt idx="111">
                  <c:v>-78</c:v>
                </c:pt>
                <c:pt idx="112">
                  <c:v>-78</c:v>
                </c:pt>
                <c:pt idx="113">
                  <c:v>-78</c:v>
                </c:pt>
                <c:pt idx="114">
                  <c:v>-68</c:v>
                </c:pt>
                <c:pt idx="115">
                  <c:v>-67</c:v>
                </c:pt>
                <c:pt idx="116">
                  <c:v>-69</c:v>
                </c:pt>
                <c:pt idx="117">
                  <c:v>-69</c:v>
                </c:pt>
                <c:pt idx="118">
                  <c:v>-72</c:v>
                </c:pt>
                <c:pt idx="119">
                  <c:v>-72</c:v>
                </c:pt>
              </c:numCache>
            </c:numRef>
          </c:val>
          <c:smooth val="0"/>
          <c:extLst>
            <c:ext xmlns:c16="http://schemas.microsoft.com/office/drawing/2014/chart" uri="{C3380CC4-5D6E-409C-BE32-E72D297353CC}">
              <c16:uniqueId val="{00000002-E112-754F-B462-55B1106EEAE9}"/>
            </c:ext>
          </c:extLst>
        </c:ser>
        <c:dLbls>
          <c:dLblPos val="ctr"/>
          <c:showLegendKey val="0"/>
          <c:showVal val="1"/>
          <c:showCatName val="0"/>
          <c:showSerName val="0"/>
          <c:showPercent val="0"/>
          <c:showBubbleSize val="0"/>
        </c:dLbls>
        <c:smooth val="0"/>
        <c:axId val="1215183"/>
        <c:axId val="1216863"/>
      </c:lineChart>
      <c:catAx>
        <c:axId val="12151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6863"/>
        <c:crosses val="autoZero"/>
        <c:auto val="1"/>
        <c:lblAlgn val="ctr"/>
        <c:lblOffset val="100"/>
        <c:noMultiLvlLbl val="0"/>
      </c:catAx>
      <c:valAx>
        <c:axId val="1216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5183"/>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10004 Test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'10004 Exhibit'!$K$1</c:f>
              <c:strCache>
                <c:ptCount val="1"/>
                <c:pt idx="0">
                  <c:v>10004</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'10004 Exhibit'!$K$3:$K$62</c:f>
              <c:numCache>
                <c:formatCode>General</c:formatCode>
                <c:ptCount val="60"/>
                <c:pt idx="0">
                  <c:v>-49</c:v>
                </c:pt>
                <c:pt idx="1">
                  <c:v>-50</c:v>
                </c:pt>
                <c:pt idx="2">
                  <c:v>-50</c:v>
                </c:pt>
                <c:pt idx="3">
                  <c:v>-49</c:v>
                </c:pt>
                <c:pt idx="4">
                  <c:v>-49</c:v>
                </c:pt>
                <c:pt idx="5">
                  <c:v>-49</c:v>
                </c:pt>
                <c:pt idx="6">
                  <c:v>-49</c:v>
                </c:pt>
                <c:pt idx="7">
                  <c:v>-49</c:v>
                </c:pt>
                <c:pt idx="8">
                  <c:v>-49</c:v>
                </c:pt>
                <c:pt idx="9">
                  <c:v>-49</c:v>
                </c:pt>
                <c:pt idx="10">
                  <c:v>-49</c:v>
                </c:pt>
                <c:pt idx="11">
                  <c:v>-49</c:v>
                </c:pt>
                <c:pt idx="12">
                  <c:v>-49</c:v>
                </c:pt>
                <c:pt idx="13">
                  <c:v>-49</c:v>
                </c:pt>
                <c:pt idx="14">
                  <c:v>-49</c:v>
                </c:pt>
                <c:pt idx="16">
                  <c:v>-49</c:v>
                </c:pt>
                <c:pt idx="17">
                  <c:v>-49</c:v>
                </c:pt>
                <c:pt idx="18">
                  <c:v>-49</c:v>
                </c:pt>
                <c:pt idx="19">
                  <c:v>-49</c:v>
                </c:pt>
                <c:pt idx="21">
                  <c:v>-49</c:v>
                </c:pt>
                <c:pt idx="22">
                  <c:v>-49</c:v>
                </c:pt>
                <c:pt idx="23">
                  <c:v>-49</c:v>
                </c:pt>
                <c:pt idx="24">
                  <c:v>-49</c:v>
                </c:pt>
                <c:pt idx="25">
                  <c:v>-49</c:v>
                </c:pt>
                <c:pt idx="26">
                  <c:v>-49</c:v>
                </c:pt>
                <c:pt idx="27">
                  <c:v>-49</c:v>
                </c:pt>
                <c:pt idx="28">
                  <c:v>-49</c:v>
                </c:pt>
                <c:pt idx="29">
                  <c:v>-49</c:v>
                </c:pt>
                <c:pt idx="30">
                  <c:v>-49</c:v>
                </c:pt>
                <c:pt idx="31">
                  <c:v>-49</c:v>
                </c:pt>
                <c:pt idx="32">
                  <c:v>-48</c:v>
                </c:pt>
                <c:pt idx="33">
                  <c:v>-49</c:v>
                </c:pt>
                <c:pt idx="34">
                  <c:v>-49</c:v>
                </c:pt>
                <c:pt idx="35">
                  <c:v>-49</c:v>
                </c:pt>
                <c:pt idx="36">
                  <c:v>-49</c:v>
                </c:pt>
                <c:pt idx="37">
                  <c:v>-48</c:v>
                </c:pt>
                <c:pt idx="38">
                  <c:v>-49</c:v>
                </c:pt>
                <c:pt idx="39">
                  <c:v>-49</c:v>
                </c:pt>
                <c:pt idx="40">
                  <c:v>-49</c:v>
                </c:pt>
                <c:pt idx="41">
                  <c:v>-49</c:v>
                </c:pt>
                <c:pt idx="42">
                  <c:v>-49</c:v>
                </c:pt>
                <c:pt idx="43">
                  <c:v>-49</c:v>
                </c:pt>
                <c:pt idx="44">
                  <c:v>-49</c:v>
                </c:pt>
                <c:pt idx="45">
                  <c:v>-49</c:v>
                </c:pt>
                <c:pt idx="46">
                  <c:v>-49</c:v>
                </c:pt>
                <c:pt idx="47">
                  <c:v>-49</c:v>
                </c:pt>
                <c:pt idx="48">
                  <c:v>-49</c:v>
                </c:pt>
                <c:pt idx="49">
                  <c:v>-49</c:v>
                </c:pt>
                <c:pt idx="50">
                  <c:v>-49</c:v>
                </c:pt>
                <c:pt idx="51">
                  <c:v>-49</c:v>
                </c:pt>
                <c:pt idx="52">
                  <c:v>-49</c:v>
                </c:pt>
                <c:pt idx="54">
                  <c:v>-49</c:v>
                </c:pt>
                <c:pt idx="55">
                  <c:v>-49</c:v>
                </c:pt>
                <c:pt idx="56">
                  <c:v>-49</c:v>
                </c:pt>
                <c:pt idx="57">
                  <c:v>-49</c:v>
                </c:pt>
                <c:pt idx="58">
                  <c:v>-49</c:v>
                </c:pt>
                <c:pt idx="59">
                  <c:v>-49</c:v>
                </c:pt>
              </c:numCache>
            </c:numRef>
          </c:val>
          <c:smooth val="0"/>
          <c:extLst>
            <c:ext xmlns:c16="http://schemas.microsoft.com/office/drawing/2014/chart" uri="{C3380CC4-5D6E-409C-BE32-E72D297353CC}">
              <c16:uniqueId val="{00000000-9F14-DE42-B74D-EF3626133BDA}"/>
            </c:ext>
          </c:extLst>
        </c:ser>
        <c:ser>
          <c:idx val="1"/>
          <c:order val="1"/>
          <c:tx>
            <c:strRef>
              <c:f>'10004 Exhibit'!$L$1</c:f>
              <c:strCache>
                <c:ptCount val="1"/>
                <c:pt idx="0">
                  <c:v>10005</c:v>
                </c:pt>
              </c:strCache>
            </c:strRef>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'10004 Exhibit'!$L$3:$L$62</c:f>
              <c:numCache>
                <c:formatCode>General</c:formatCode>
                <c:ptCount val="60"/>
                <c:pt idx="1">
                  <c:v>-92</c:v>
                </c:pt>
                <c:pt idx="2">
                  <c:v>-92</c:v>
                </c:pt>
                <c:pt idx="4">
                  <c:v>-91</c:v>
                </c:pt>
                <c:pt idx="5">
                  <c:v>-87</c:v>
                </c:pt>
                <c:pt idx="6">
                  <c:v>-93</c:v>
                </c:pt>
                <c:pt idx="7">
                  <c:v>-87</c:v>
                </c:pt>
                <c:pt idx="8">
                  <c:v>-85</c:v>
                </c:pt>
                <c:pt idx="9">
                  <c:v>-86</c:v>
                </c:pt>
                <c:pt idx="12">
                  <c:v>-85</c:v>
                </c:pt>
                <c:pt idx="13">
                  <c:v>-88</c:v>
                </c:pt>
                <c:pt idx="14">
                  <c:v>-86</c:v>
                </c:pt>
                <c:pt idx="15">
                  <c:v>-85</c:v>
                </c:pt>
                <c:pt idx="16">
                  <c:v>-87</c:v>
                </c:pt>
                <c:pt idx="17">
                  <c:v>-87</c:v>
                </c:pt>
                <c:pt idx="18">
                  <c:v>-86</c:v>
                </c:pt>
                <c:pt idx="19">
                  <c:v>-86</c:v>
                </c:pt>
                <c:pt idx="20">
                  <c:v>-86</c:v>
                </c:pt>
                <c:pt idx="21">
                  <c:v>-86</c:v>
                </c:pt>
                <c:pt idx="23">
                  <c:v>-94</c:v>
                </c:pt>
                <c:pt idx="24">
                  <c:v>-88</c:v>
                </c:pt>
                <c:pt idx="25">
                  <c:v>-86</c:v>
                </c:pt>
                <c:pt idx="29">
                  <c:v>-86</c:v>
                </c:pt>
                <c:pt idx="30">
                  <c:v>-93</c:v>
                </c:pt>
                <c:pt idx="31">
                  <c:v>-85</c:v>
                </c:pt>
                <c:pt idx="33">
                  <c:v>-87</c:v>
                </c:pt>
                <c:pt idx="34">
                  <c:v>-93</c:v>
                </c:pt>
                <c:pt idx="35">
                  <c:v>-85</c:v>
                </c:pt>
                <c:pt idx="37">
                  <c:v>-85</c:v>
                </c:pt>
                <c:pt idx="38">
                  <c:v>-85</c:v>
                </c:pt>
                <c:pt idx="40">
                  <c:v>-93</c:v>
                </c:pt>
                <c:pt idx="41">
                  <c:v>-86</c:v>
                </c:pt>
                <c:pt idx="42">
                  <c:v>-85</c:v>
                </c:pt>
                <c:pt idx="43">
                  <c:v>-87</c:v>
                </c:pt>
                <c:pt idx="44">
                  <c:v>-93</c:v>
                </c:pt>
                <c:pt idx="45">
                  <c:v>-86</c:v>
                </c:pt>
                <c:pt idx="46">
                  <c:v>-86</c:v>
                </c:pt>
                <c:pt idx="47">
                  <c:v>-88</c:v>
                </c:pt>
                <c:pt idx="48">
                  <c:v>-87</c:v>
                </c:pt>
                <c:pt idx="49">
                  <c:v>-93</c:v>
                </c:pt>
                <c:pt idx="51">
                  <c:v>-91</c:v>
                </c:pt>
                <c:pt idx="52">
                  <c:v>-86</c:v>
                </c:pt>
                <c:pt idx="54">
                  <c:v>-85</c:v>
                </c:pt>
                <c:pt idx="57">
                  <c:v>-87</c:v>
                </c:pt>
                <c:pt idx="58">
                  <c:v>-86</c:v>
                </c:pt>
                <c:pt idx="59">
                  <c:v>-87</c:v>
                </c:pt>
              </c:numCache>
            </c:numRef>
          </c:val>
          <c:smooth val="0"/>
          <c:extLst>
            <c:ext xmlns:c16="http://schemas.microsoft.com/office/drawing/2014/chart" uri="{C3380CC4-5D6E-409C-BE32-E72D297353CC}">
              <c16:uniqueId val="{00000001-9F14-DE42-B74D-EF3626133BDA}"/>
            </c:ext>
          </c:extLst>
        </c:ser>
        <c:ser>
          <c:idx val="2"/>
          <c:order val="2"/>
          <c:tx>
            <c:strRef>
              <c:f>'10004 Exhibit'!$M$1</c:f>
              <c:strCache>
                <c:ptCount val="1"/>
                <c:pt idx="0">
                  <c:v>10006</c:v>
                </c:pt>
              </c:strCache>
            </c:strRef>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'10004 Exhibit'!$M$3:$M$62</c:f>
              <c:numCache>
                <c:formatCode>General</c:formatCode>
                <c:ptCount val="60"/>
                <c:pt idx="1">
                  <c:v>-94</c:v>
                </c:pt>
                <c:pt idx="4">
                  <c:v>-96</c:v>
                </c:pt>
                <c:pt idx="5">
                  <c:v>-96</c:v>
                </c:pt>
                <c:pt idx="19">
                  <c:v>-98</c:v>
                </c:pt>
                <c:pt idx="21">
                  <c:v>-96</c:v>
                </c:pt>
                <c:pt idx="28">
                  <c:v>-94</c:v>
                </c:pt>
                <c:pt idx="29">
                  <c:v>-94</c:v>
                </c:pt>
                <c:pt idx="38">
                  <c:v>-91</c:v>
                </c:pt>
                <c:pt idx="44">
                  <c:v>-97</c:v>
                </c:pt>
                <c:pt idx="45">
                  <c:v>-97</c:v>
                </c:pt>
                <c:pt idx="48">
                  <c:v>-96</c:v>
                </c:pt>
                <c:pt idx="49">
                  <c:v>-94</c:v>
                </c:pt>
                <c:pt idx="50">
                  <c:v>-93</c:v>
                </c:pt>
                <c:pt idx="51">
                  <c:v>-94</c:v>
                </c:pt>
                <c:pt idx="52">
                  <c:v>-94</c:v>
                </c:pt>
                <c:pt idx="55">
                  <c:v>-93</c:v>
                </c:pt>
                <c:pt idx="59">
                  <c:v>-94</c:v>
                </c:pt>
              </c:numCache>
            </c:numRef>
          </c:val>
          <c:smooth val="0"/>
          <c:extLst>
            <c:ext xmlns:c16="http://schemas.microsoft.com/office/drawing/2014/chart" uri="{C3380CC4-5D6E-409C-BE32-E72D297353CC}">
              <c16:uniqueId val="{00000002-9F14-DE42-B74D-EF3626133BDA}"/>
            </c:ext>
          </c:extLst>
        </c:ser>
        <c:ser>
          <c:idx val="3"/>
          <c:order val="3"/>
          <c:tx>
            <c:strRef>
              <c:f>'10004 Exhibit'!$O$1</c:f>
              <c:strCache>
                <c:ptCount val="1"/>
                <c:pt idx="0">
                  <c:v>Diffrence</c:v>
                </c:pt>
              </c:strCache>
            </c:strRef>
          </c:tx>
          <c:spPr>
            <a:ln w="22225" cap="rnd">
              <a:solidFill>
                <a:schemeClr val="accent4"/>
              </a:solidFill>
            </a:ln>
            <a:effectLst>
              <a:glow rad="139700">
                <a:schemeClr val="accent4">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'10004 Exhibit'!$O$3:$O$62</c:f>
              <c:numCache>
                <c:formatCode>General</c:formatCode>
                <c:ptCount val="60"/>
                <c:pt idx="0">
                  <c:v>49</c:v>
                </c:pt>
                <c:pt idx="1">
                  <c:v>42</c:v>
                </c:pt>
                <c:pt idx="2">
                  <c:v>42</c:v>
                </c:pt>
                <c:pt idx="3">
                  <c:v>49</c:v>
                </c:pt>
                <c:pt idx="4">
                  <c:v>42</c:v>
                </c:pt>
                <c:pt idx="5">
                  <c:v>38</c:v>
                </c:pt>
                <c:pt idx="6">
                  <c:v>44</c:v>
                </c:pt>
                <c:pt idx="7">
                  <c:v>38</c:v>
                </c:pt>
                <c:pt idx="8">
                  <c:v>36</c:v>
                </c:pt>
                <c:pt idx="9">
                  <c:v>37</c:v>
                </c:pt>
                <c:pt idx="10">
                  <c:v>49</c:v>
                </c:pt>
                <c:pt idx="11">
                  <c:v>49</c:v>
                </c:pt>
                <c:pt idx="12">
                  <c:v>36</c:v>
                </c:pt>
                <c:pt idx="13">
                  <c:v>39</c:v>
                </c:pt>
                <c:pt idx="14">
                  <c:v>37</c:v>
                </c:pt>
                <c:pt idx="16">
                  <c:v>38</c:v>
                </c:pt>
                <c:pt idx="17">
                  <c:v>38</c:v>
                </c:pt>
                <c:pt idx="18">
                  <c:v>37</c:v>
                </c:pt>
                <c:pt idx="19">
                  <c:v>37</c:v>
                </c:pt>
                <c:pt idx="21">
                  <c:v>37</c:v>
                </c:pt>
                <c:pt idx="22">
                  <c:v>49</c:v>
                </c:pt>
                <c:pt idx="23">
                  <c:v>45</c:v>
                </c:pt>
                <c:pt idx="24">
                  <c:v>39</c:v>
                </c:pt>
                <c:pt idx="25">
                  <c:v>37</c:v>
                </c:pt>
                <c:pt idx="26">
                  <c:v>49</c:v>
                </c:pt>
                <c:pt idx="27">
                  <c:v>49</c:v>
                </c:pt>
                <c:pt idx="28">
                  <c:v>45</c:v>
                </c:pt>
                <c:pt idx="29">
                  <c:v>37</c:v>
                </c:pt>
                <c:pt idx="30">
                  <c:v>44</c:v>
                </c:pt>
                <c:pt idx="31">
                  <c:v>36</c:v>
                </c:pt>
                <c:pt idx="32">
                  <c:v>48</c:v>
                </c:pt>
                <c:pt idx="33">
                  <c:v>38</c:v>
                </c:pt>
                <c:pt idx="34">
                  <c:v>44</c:v>
                </c:pt>
                <c:pt idx="35">
                  <c:v>36</c:v>
                </c:pt>
                <c:pt idx="36">
                  <c:v>49</c:v>
                </c:pt>
                <c:pt idx="37">
                  <c:v>37</c:v>
                </c:pt>
                <c:pt idx="38">
                  <c:v>36</c:v>
                </c:pt>
                <c:pt idx="39">
                  <c:v>49</c:v>
                </c:pt>
                <c:pt idx="40">
                  <c:v>44</c:v>
                </c:pt>
                <c:pt idx="41">
                  <c:v>37</c:v>
                </c:pt>
                <c:pt idx="42">
                  <c:v>36</c:v>
                </c:pt>
                <c:pt idx="43">
                  <c:v>38</c:v>
                </c:pt>
                <c:pt idx="44">
                  <c:v>44</c:v>
                </c:pt>
                <c:pt idx="45">
                  <c:v>37</c:v>
                </c:pt>
                <c:pt idx="46">
                  <c:v>37</c:v>
                </c:pt>
                <c:pt idx="47">
                  <c:v>39</c:v>
                </c:pt>
                <c:pt idx="48">
                  <c:v>38</c:v>
                </c:pt>
                <c:pt idx="49">
                  <c:v>44</c:v>
                </c:pt>
                <c:pt idx="50">
                  <c:v>44</c:v>
                </c:pt>
                <c:pt idx="51">
                  <c:v>42</c:v>
                </c:pt>
                <c:pt idx="52">
                  <c:v>37</c:v>
                </c:pt>
                <c:pt idx="54">
                  <c:v>36</c:v>
                </c:pt>
                <c:pt idx="55">
                  <c:v>44</c:v>
                </c:pt>
                <c:pt idx="56">
                  <c:v>49</c:v>
                </c:pt>
                <c:pt idx="57">
                  <c:v>38</c:v>
                </c:pt>
                <c:pt idx="58">
                  <c:v>37</c:v>
                </c:pt>
                <c:pt idx="59">
                  <c:v>38</c:v>
                </c:pt>
              </c:numCache>
            </c:numRef>
          </c:val>
          <c:smooth val="0"/>
          <c:extLst>
            <c:ext xmlns:c16="http://schemas.microsoft.com/office/drawing/2014/chart" uri="{C3380CC4-5D6E-409C-BE32-E72D297353CC}">
              <c16:uniqueId val="{00000003-9F14-DE42-B74D-EF3626133BDA}"/>
            </c:ext>
          </c:extLst>
        </c:ser>
        <c:dLbls>
          <c:dLblPos val="ctr"/>
          <c:showLegendKey val="0"/>
          <c:showVal val="1"/>
          <c:showCatName val="0"/>
          <c:showSerName val="0"/>
          <c:showPercent val="0"/>
          <c:showBubbleSize val="0"/>
        </c:dLbls>
        <c:smooth val="0"/>
        <c:axId val="1215183"/>
        <c:axId val="1216863"/>
      </c:lineChart>
      <c:catAx>
        <c:axId val="12151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6863"/>
        <c:crosses val="autoZero"/>
        <c:auto val="1"/>
        <c:lblAlgn val="ctr"/>
        <c:lblOffset val="100"/>
        <c:noMultiLvlLbl val="0"/>
      </c:catAx>
      <c:valAx>
        <c:axId val="1216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5183"/>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10005 Test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'10005 Exhibit'!$K$1</c:f>
              <c:strCache>
                <c:ptCount val="1"/>
                <c:pt idx="0">
                  <c:v>10004</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'10005 Exhibit'!$K$3:$K$62</c:f>
              <c:numCache>
                <c:formatCode>General</c:formatCode>
                <c:ptCount val="60"/>
                <c:pt idx="0">
                  <c:v>-85</c:v>
                </c:pt>
                <c:pt idx="1">
                  <c:v>-97</c:v>
                </c:pt>
                <c:pt idx="2">
                  <c:v>-88</c:v>
                </c:pt>
                <c:pt idx="3">
                  <c:v>-89</c:v>
                </c:pt>
                <c:pt idx="4">
                  <c:v>-90</c:v>
                </c:pt>
                <c:pt idx="5">
                  <c:v>-92</c:v>
                </c:pt>
                <c:pt idx="6">
                  <c:v>-92</c:v>
                </c:pt>
                <c:pt idx="7">
                  <c:v>-92</c:v>
                </c:pt>
                <c:pt idx="8">
                  <c:v>-91</c:v>
                </c:pt>
                <c:pt idx="9">
                  <c:v>-90</c:v>
                </c:pt>
                <c:pt idx="11">
                  <c:v>-91</c:v>
                </c:pt>
                <c:pt idx="12">
                  <c:v>-90</c:v>
                </c:pt>
                <c:pt idx="13">
                  <c:v>-90</c:v>
                </c:pt>
                <c:pt idx="14">
                  <c:v>-96</c:v>
                </c:pt>
                <c:pt idx="17">
                  <c:v>-92</c:v>
                </c:pt>
                <c:pt idx="18">
                  <c:v>-92</c:v>
                </c:pt>
                <c:pt idx="20">
                  <c:v>-90</c:v>
                </c:pt>
                <c:pt idx="21">
                  <c:v>-91</c:v>
                </c:pt>
                <c:pt idx="22">
                  <c:v>-88</c:v>
                </c:pt>
                <c:pt idx="24">
                  <c:v>-93</c:v>
                </c:pt>
                <c:pt idx="25">
                  <c:v>-90</c:v>
                </c:pt>
                <c:pt idx="26">
                  <c:v>-90</c:v>
                </c:pt>
                <c:pt idx="27">
                  <c:v>-91</c:v>
                </c:pt>
                <c:pt idx="29">
                  <c:v>-94</c:v>
                </c:pt>
                <c:pt idx="30">
                  <c:v>-94</c:v>
                </c:pt>
                <c:pt idx="33">
                  <c:v>-94</c:v>
                </c:pt>
                <c:pt idx="34">
                  <c:v>-92</c:v>
                </c:pt>
                <c:pt idx="35">
                  <c:v>-92</c:v>
                </c:pt>
                <c:pt idx="36">
                  <c:v>-92</c:v>
                </c:pt>
                <c:pt idx="37">
                  <c:v>-91</c:v>
                </c:pt>
                <c:pt idx="38">
                  <c:v>-91</c:v>
                </c:pt>
                <c:pt idx="39">
                  <c:v>-94</c:v>
                </c:pt>
                <c:pt idx="40">
                  <c:v>-95</c:v>
                </c:pt>
                <c:pt idx="45">
                  <c:v>-88</c:v>
                </c:pt>
                <c:pt idx="47">
                  <c:v>-93</c:v>
                </c:pt>
                <c:pt idx="49">
                  <c:v>-89</c:v>
                </c:pt>
                <c:pt idx="50">
                  <c:v>-89</c:v>
                </c:pt>
                <c:pt idx="53">
                  <c:v>-91</c:v>
                </c:pt>
                <c:pt idx="54">
                  <c:v>-91</c:v>
                </c:pt>
                <c:pt idx="55">
                  <c:v>-91</c:v>
                </c:pt>
                <c:pt idx="56">
                  <c:v>-91</c:v>
                </c:pt>
                <c:pt idx="57">
                  <c:v>-90</c:v>
                </c:pt>
                <c:pt idx="58">
                  <c:v>-90</c:v>
                </c:pt>
              </c:numCache>
            </c:numRef>
          </c:val>
          <c:smooth val="0"/>
          <c:extLst>
            <c:ext xmlns:c16="http://schemas.microsoft.com/office/drawing/2014/chart" uri="{C3380CC4-5D6E-409C-BE32-E72D297353CC}">
              <c16:uniqueId val="{00000000-FEE1-A84E-BEC6-DE1D8BE5E0E6}"/>
            </c:ext>
          </c:extLst>
        </c:ser>
        <c:ser>
          <c:idx val="1"/>
          <c:order val="1"/>
          <c:tx>
            <c:strRef>
              <c:f>'10005 Exhibit'!$L$1</c:f>
              <c:strCache>
                <c:ptCount val="1"/>
                <c:pt idx="0">
                  <c:v>10005</c:v>
                </c:pt>
              </c:strCache>
            </c:strRef>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'10005 Exhibit'!$L$3:$L$62</c:f>
              <c:numCache>
                <c:formatCode>General</c:formatCode>
                <c:ptCount val="60"/>
                <c:pt idx="1">
                  <c:v>-38</c:v>
                </c:pt>
                <c:pt idx="2">
                  <c:v>-37</c:v>
                </c:pt>
                <c:pt idx="3">
                  <c:v>-37</c:v>
                </c:pt>
                <c:pt idx="4">
                  <c:v>-37</c:v>
                </c:pt>
                <c:pt idx="5">
                  <c:v>-37</c:v>
                </c:pt>
                <c:pt idx="6">
                  <c:v>-37</c:v>
                </c:pt>
                <c:pt idx="7">
                  <c:v>-37</c:v>
                </c:pt>
                <c:pt idx="9">
                  <c:v>-37</c:v>
                </c:pt>
                <c:pt idx="10">
                  <c:v>-40</c:v>
                </c:pt>
                <c:pt idx="11">
                  <c:v>-38</c:v>
                </c:pt>
                <c:pt idx="13">
                  <c:v>-37</c:v>
                </c:pt>
                <c:pt idx="15">
                  <c:v>-37</c:v>
                </c:pt>
                <c:pt idx="16">
                  <c:v>-39</c:v>
                </c:pt>
                <c:pt idx="17">
                  <c:v>-38</c:v>
                </c:pt>
                <c:pt idx="18">
                  <c:v>-38</c:v>
                </c:pt>
                <c:pt idx="19">
                  <c:v>-38</c:v>
                </c:pt>
                <c:pt idx="20">
                  <c:v>-38</c:v>
                </c:pt>
                <c:pt idx="21">
                  <c:v>-40</c:v>
                </c:pt>
                <c:pt idx="22">
                  <c:v>-40</c:v>
                </c:pt>
                <c:pt idx="23">
                  <c:v>-38</c:v>
                </c:pt>
                <c:pt idx="24">
                  <c:v>-38</c:v>
                </c:pt>
                <c:pt idx="25">
                  <c:v>-38</c:v>
                </c:pt>
                <c:pt idx="26">
                  <c:v>-38</c:v>
                </c:pt>
                <c:pt idx="27">
                  <c:v>-38</c:v>
                </c:pt>
                <c:pt idx="28">
                  <c:v>-39</c:v>
                </c:pt>
                <c:pt idx="29">
                  <c:v>-40</c:v>
                </c:pt>
                <c:pt idx="31">
                  <c:v>-41</c:v>
                </c:pt>
                <c:pt idx="33">
                  <c:v>-41</c:v>
                </c:pt>
                <c:pt idx="34">
                  <c:v>-38</c:v>
                </c:pt>
                <c:pt idx="36">
                  <c:v>-37</c:v>
                </c:pt>
                <c:pt idx="37">
                  <c:v>-39</c:v>
                </c:pt>
                <c:pt idx="38">
                  <c:v>-37</c:v>
                </c:pt>
                <c:pt idx="39">
                  <c:v>-40</c:v>
                </c:pt>
                <c:pt idx="40">
                  <c:v>-38</c:v>
                </c:pt>
                <c:pt idx="41">
                  <c:v>-38</c:v>
                </c:pt>
                <c:pt idx="42">
                  <c:v>-39</c:v>
                </c:pt>
                <c:pt idx="43">
                  <c:v>-39</c:v>
                </c:pt>
                <c:pt idx="44">
                  <c:v>-38</c:v>
                </c:pt>
                <c:pt idx="45">
                  <c:v>-38</c:v>
                </c:pt>
                <c:pt idx="46">
                  <c:v>-40</c:v>
                </c:pt>
                <c:pt idx="47">
                  <c:v>-40</c:v>
                </c:pt>
                <c:pt idx="48">
                  <c:v>-38</c:v>
                </c:pt>
                <c:pt idx="49">
                  <c:v>-38</c:v>
                </c:pt>
                <c:pt idx="50">
                  <c:v>-38</c:v>
                </c:pt>
                <c:pt idx="51">
                  <c:v>-38</c:v>
                </c:pt>
                <c:pt idx="52">
                  <c:v>-40</c:v>
                </c:pt>
                <c:pt idx="53">
                  <c:v>-38</c:v>
                </c:pt>
                <c:pt idx="54">
                  <c:v>-40</c:v>
                </c:pt>
                <c:pt idx="55">
                  <c:v>-36</c:v>
                </c:pt>
                <c:pt idx="56">
                  <c:v>-40</c:v>
                </c:pt>
                <c:pt idx="57">
                  <c:v>-37</c:v>
                </c:pt>
                <c:pt idx="58">
                  <c:v>-41</c:v>
                </c:pt>
                <c:pt idx="59">
                  <c:v>-38</c:v>
                </c:pt>
              </c:numCache>
            </c:numRef>
          </c:val>
          <c:smooth val="0"/>
          <c:extLst>
            <c:ext xmlns:c16="http://schemas.microsoft.com/office/drawing/2014/chart" uri="{C3380CC4-5D6E-409C-BE32-E72D297353CC}">
              <c16:uniqueId val="{00000001-FEE1-A84E-BEC6-DE1D8BE5E0E6}"/>
            </c:ext>
          </c:extLst>
        </c:ser>
        <c:ser>
          <c:idx val="2"/>
          <c:order val="2"/>
          <c:tx>
            <c:strRef>
              <c:f>'10005 Exhibit'!$M$1</c:f>
              <c:strCache>
                <c:ptCount val="1"/>
                <c:pt idx="0">
                  <c:v>10006</c:v>
                </c:pt>
              </c:strCache>
            </c:strRef>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'10005 Exhibit'!$M$3:$M$62</c:f>
              <c:numCache>
                <c:formatCode>General</c:formatCode>
                <c:ptCount val="60"/>
                <c:pt idx="0">
                  <c:v>-83</c:v>
                </c:pt>
                <c:pt idx="1">
                  <c:v>-79</c:v>
                </c:pt>
                <c:pt idx="2">
                  <c:v>-87</c:v>
                </c:pt>
                <c:pt idx="3">
                  <c:v>-86</c:v>
                </c:pt>
                <c:pt idx="5">
                  <c:v>-87</c:v>
                </c:pt>
                <c:pt idx="6">
                  <c:v>-90</c:v>
                </c:pt>
                <c:pt idx="7">
                  <c:v>-87</c:v>
                </c:pt>
                <c:pt idx="8">
                  <c:v>-86</c:v>
                </c:pt>
                <c:pt idx="9">
                  <c:v>-88</c:v>
                </c:pt>
                <c:pt idx="10">
                  <c:v>-90</c:v>
                </c:pt>
                <c:pt idx="11">
                  <c:v>-90</c:v>
                </c:pt>
                <c:pt idx="12">
                  <c:v>-89</c:v>
                </c:pt>
                <c:pt idx="13">
                  <c:v>-90</c:v>
                </c:pt>
                <c:pt idx="14">
                  <c:v>-91</c:v>
                </c:pt>
                <c:pt idx="15">
                  <c:v>-90</c:v>
                </c:pt>
                <c:pt idx="16">
                  <c:v>-91</c:v>
                </c:pt>
                <c:pt idx="17">
                  <c:v>-93</c:v>
                </c:pt>
                <c:pt idx="22">
                  <c:v>-87</c:v>
                </c:pt>
                <c:pt idx="23">
                  <c:v>-92</c:v>
                </c:pt>
                <c:pt idx="24">
                  <c:v>-91</c:v>
                </c:pt>
                <c:pt idx="25">
                  <c:v>-93</c:v>
                </c:pt>
                <c:pt idx="28">
                  <c:v>-92</c:v>
                </c:pt>
                <c:pt idx="29">
                  <c:v>-91</c:v>
                </c:pt>
                <c:pt idx="30">
                  <c:v>-86</c:v>
                </c:pt>
                <c:pt idx="31">
                  <c:v>-86</c:v>
                </c:pt>
                <c:pt idx="32">
                  <c:v>-87</c:v>
                </c:pt>
                <c:pt idx="33">
                  <c:v>-87</c:v>
                </c:pt>
                <c:pt idx="34">
                  <c:v>-88</c:v>
                </c:pt>
                <c:pt idx="35">
                  <c:v>-93</c:v>
                </c:pt>
                <c:pt idx="36">
                  <c:v>-85</c:v>
                </c:pt>
                <c:pt idx="37">
                  <c:v>-85</c:v>
                </c:pt>
                <c:pt idx="38">
                  <c:v>-84</c:v>
                </c:pt>
                <c:pt idx="39">
                  <c:v>-84</c:v>
                </c:pt>
                <c:pt idx="40">
                  <c:v>-85</c:v>
                </c:pt>
                <c:pt idx="41">
                  <c:v>-84</c:v>
                </c:pt>
                <c:pt idx="43">
                  <c:v>-91</c:v>
                </c:pt>
                <c:pt idx="44">
                  <c:v>-93</c:v>
                </c:pt>
                <c:pt idx="45">
                  <c:v>-82</c:v>
                </c:pt>
                <c:pt idx="46">
                  <c:v>-89</c:v>
                </c:pt>
                <c:pt idx="47">
                  <c:v>-80</c:v>
                </c:pt>
                <c:pt idx="51">
                  <c:v>-87</c:v>
                </c:pt>
                <c:pt idx="52">
                  <c:v>-87</c:v>
                </c:pt>
                <c:pt idx="53">
                  <c:v>-91</c:v>
                </c:pt>
                <c:pt idx="54">
                  <c:v>-91</c:v>
                </c:pt>
                <c:pt idx="55">
                  <c:v>-91</c:v>
                </c:pt>
                <c:pt idx="56">
                  <c:v>-86</c:v>
                </c:pt>
                <c:pt idx="57">
                  <c:v>-83</c:v>
                </c:pt>
                <c:pt idx="58">
                  <c:v>-84</c:v>
                </c:pt>
                <c:pt idx="59">
                  <c:v>-88</c:v>
                </c:pt>
              </c:numCache>
            </c:numRef>
          </c:val>
          <c:smooth val="0"/>
          <c:extLst>
            <c:ext xmlns:c16="http://schemas.microsoft.com/office/drawing/2014/chart" uri="{C3380CC4-5D6E-409C-BE32-E72D297353CC}">
              <c16:uniqueId val="{00000002-FEE1-A84E-BEC6-DE1D8BE5E0E6}"/>
            </c:ext>
          </c:extLst>
        </c:ser>
        <c:ser>
          <c:idx val="3"/>
          <c:order val="3"/>
          <c:tx>
            <c:strRef>
              <c:f>'10005 Exhibit'!$N$1</c:f>
              <c:strCache>
                <c:ptCount val="1"/>
                <c:pt idx="0">
                  <c:v>Diffrence</c:v>
                </c:pt>
              </c:strCache>
            </c:strRef>
          </c:tx>
          <c:spPr>
            <a:ln w="22225" cap="rnd">
              <a:solidFill>
                <a:schemeClr val="accent4"/>
              </a:solidFill>
            </a:ln>
            <a:effectLst>
              <a:glow rad="139700">
                <a:schemeClr val="accent4">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'10005 Exhibit'!$N$3:$N$62</c:f>
              <c:numCache>
                <c:formatCode>General</c:formatCode>
                <c:ptCount val="60"/>
                <c:pt idx="1">
                  <c:v>59</c:v>
                </c:pt>
                <c:pt idx="2">
                  <c:v>51</c:v>
                </c:pt>
                <c:pt idx="3">
                  <c:v>52</c:v>
                </c:pt>
                <c:pt idx="4">
                  <c:v>53</c:v>
                </c:pt>
                <c:pt idx="5">
                  <c:v>55</c:v>
                </c:pt>
                <c:pt idx="6">
                  <c:v>55</c:v>
                </c:pt>
                <c:pt idx="7">
                  <c:v>55</c:v>
                </c:pt>
                <c:pt idx="9">
                  <c:v>53</c:v>
                </c:pt>
                <c:pt idx="10">
                  <c:v>40</c:v>
                </c:pt>
                <c:pt idx="11">
                  <c:v>53</c:v>
                </c:pt>
                <c:pt idx="13">
                  <c:v>53</c:v>
                </c:pt>
                <c:pt idx="15">
                  <c:v>37</c:v>
                </c:pt>
                <c:pt idx="16">
                  <c:v>39</c:v>
                </c:pt>
                <c:pt idx="17">
                  <c:v>54</c:v>
                </c:pt>
                <c:pt idx="18">
                  <c:v>54</c:v>
                </c:pt>
                <c:pt idx="19">
                  <c:v>38</c:v>
                </c:pt>
                <c:pt idx="20">
                  <c:v>52</c:v>
                </c:pt>
                <c:pt idx="21">
                  <c:v>51</c:v>
                </c:pt>
                <c:pt idx="22">
                  <c:v>48</c:v>
                </c:pt>
                <c:pt idx="23">
                  <c:v>38</c:v>
                </c:pt>
                <c:pt idx="24">
                  <c:v>55</c:v>
                </c:pt>
                <c:pt idx="25">
                  <c:v>52</c:v>
                </c:pt>
                <c:pt idx="26">
                  <c:v>52</c:v>
                </c:pt>
                <c:pt idx="27">
                  <c:v>53</c:v>
                </c:pt>
                <c:pt idx="28">
                  <c:v>39</c:v>
                </c:pt>
                <c:pt idx="29">
                  <c:v>54</c:v>
                </c:pt>
                <c:pt idx="31">
                  <c:v>41</c:v>
                </c:pt>
                <c:pt idx="33">
                  <c:v>53</c:v>
                </c:pt>
                <c:pt idx="34">
                  <c:v>54</c:v>
                </c:pt>
                <c:pt idx="36">
                  <c:v>55</c:v>
                </c:pt>
                <c:pt idx="37">
                  <c:v>52</c:v>
                </c:pt>
                <c:pt idx="38">
                  <c:v>54</c:v>
                </c:pt>
                <c:pt idx="39">
                  <c:v>54</c:v>
                </c:pt>
                <c:pt idx="40">
                  <c:v>57</c:v>
                </c:pt>
                <c:pt idx="41">
                  <c:v>38</c:v>
                </c:pt>
                <c:pt idx="42">
                  <c:v>39</c:v>
                </c:pt>
                <c:pt idx="43">
                  <c:v>39</c:v>
                </c:pt>
                <c:pt idx="44">
                  <c:v>38</c:v>
                </c:pt>
                <c:pt idx="45">
                  <c:v>50</c:v>
                </c:pt>
                <c:pt idx="46">
                  <c:v>40</c:v>
                </c:pt>
                <c:pt idx="47">
                  <c:v>53</c:v>
                </c:pt>
                <c:pt idx="48">
                  <c:v>38</c:v>
                </c:pt>
                <c:pt idx="49">
                  <c:v>51</c:v>
                </c:pt>
                <c:pt idx="50">
                  <c:v>51</c:v>
                </c:pt>
                <c:pt idx="51">
                  <c:v>38</c:v>
                </c:pt>
                <c:pt idx="52">
                  <c:v>40</c:v>
                </c:pt>
                <c:pt idx="53">
                  <c:v>53</c:v>
                </c:pt>
                <c:pt idx="54">
                  <c:v>51</c:v>
                </c:pt>
                <c:pt idx="55">
                  <c:v>55</c:v>
                </c:pt>
                <c:pt idx="56">
                  <c:v>51</c:v>
                </c:pt>
                <c:pt idx="57">
                  <c:v>53</c:v>
                </c:pt>
                <c:pt idx="58">
                  <c:v>49</c:v>
                </c:pt>
                <c:pt idx="59">
                  <c:v>38</c:v>
                </c:pt>
              </c:numCache>
            </c:numRef>
          </c:val>
          <c:smooth val="0"/>
          <c:extLst>
            <c:ext xmlns:c16="http://schemas.microsoft.com/office/drawing/2014/chart" uri="{C3380CC4-5D6E-409C-BE32-E72D297353CC}">
              <c16:uniqueId val="{00000003-FEE1-A84E-BEC6-DE1D8BE5E0E6}"/>
            </c:ext>
          </c:extLst>
        </c:ser>
        <c:dLbls>
          <c:dLblPos val="ctr"/>
          <c:showLegendKey val="0"/>
          <c:showVal val="1"/>
          <c:showCatName val="0"/>
          <c:showSerName val="0"/>
          <c:showPercent val="0"/>
          <c:showBubbleSize val="0"/>
        </c:dLbls>
        <c:smooth val="0"/>
        <c:axId val="1215183"/>
        <c:axId val="1216863"/>
      </c:lineChart>
      <c:catAx>
        <c:axId val="12151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6863"/>
        <c:crosses val="autoZero"/>
        <c:auto val="1"/>
        <c:lblAlgn val="ctr"/>
        <c:lblOffset val="100"/>
        <c:noMultiLvlLbl val="0"/>
      </c:catAx>
      <c:valAx>
        <c:axId val="1216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5183"/>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10006 Test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'10006 Exhibit'!$K$1</c:f>
              <c:strCache>
                <c:ptCount val="1"/>
                <c:pt idx="0">
                  <c:v>10004</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'10006 Exhibit'!$K$3:$K$62</c:f>
              <c:numCache>
                <c:formatCode>General</c:formatCode>
                <c:ptCount val="60"/>
                <c:pt idx="0">
                  <c:v>-95</c:v>
                </c:pt>
                <c:pt idx="1">
                  <c:v>-92</c:v>
                </c:pt>
                <c:pt idx="2">
                  <c:v>-90</c:v>
                </c:pt>
                <c:pt idx="3">
                  <c:v>-92</c:v>
                </c:pt>
                <c:pt idx="4">
                  <c:v>-92</c:v>
                </c:pt>
                <c:pt idx="5">
                  <c:v>-93</c:v>
                </c:pt>
                <c:pt idx="6">
                  <c:v>-94</c:v>
                </c:pt>
                <c:pt idx="7">
                  <c:v>-95</c:v>
                </c:pt>
                <c:pt idx="9">
                  <c:v>-95</c:v>
                </c:pt>
                <c:pt idx="11">
                  <c:v>-96</c:v>
                </c:pt>
                <c:pt idx="12">
                  <c:v>-90</c:v>
                </c:pt>
                <c:pt idx="14">
                  <c:v>-92</c:v>
                </c:pt>
                <c:pt idx="16">
                  <c:v>-91</c:v>
                </c:pt>
                <c:pt idx="21">
                  <c:v>-91</c:v>
                </c:pt>
                <c:pt idx="22">
                  <c:v>-91</c:v>
                </c:pt>
                <c:pt idx="23">
                  <c:v>-90</c:v>
                </c:pt>
                <c:pt idx="24">
                  <c:v>-91</c:v>
                </c:pt>
                <c:pt idx="25">
                  <c:v>-93</c:v>
                </c:pt>
                <c:pt idx="26">
                  <c:v>-92</c:v>
                </c:pt>
                <c:pt idx="27">
                  <c:v>-92</c:v>
                </c:pt>
                <c:pt idx="28">
                  <c:v>-93</c:v>
                </c:pt>
                <c:pt idx="29">
                  <c:v>-91</c:v>
                </c:pt>
                <c:pt idx="30">
                  <c:v>-91</c:v>
                </c:pt>
                <c:pt idx="31">
                  <c:v>-92</c:v>
                </c:pt>
                <c:pt idx="32">
                  <c:v>-91</c:v>
                </c:pt>
                <c:pt idx="34">
                  <c:v>-92</c:v>
                </c:pt>
                <c:pt idx="35">
                  <c:v>-92</c:v>
                </c:pt>
                <c:pt idx="36">
                  <c:v>-92</c:v>
                </c:pt>
                <c:pt idx="38">
                  <c:v>-92</c:v>
                </c:pt>
                <c:pt idx="40">
                  <c:v>-92</c:v>
                </c:pt>
                <c:pt idx="41">
                  <c:v>-93</c:v>
                </c:pt>
                <c:pt idx="42">
                  <c:v>-93</c:v>
                </c:pt>
                <c:pt idx="43">
                  <c:v>-92</c:v>
                </c:pt>
                <c:pt idx="44">
                  <c:v>-92</c:v>
                </c:pt>
                <c:pt idx="45">
                  <c:v>-93</c:v>
                </c:pt>
                <c:pt idx="46">
                  <c:v>-91</c:v>
                </c:pt>
                <c:pt idx="47">
                  <c:v>-91</c:v>
                </c:pt>
                <c:pt idx="50">
                  <c:v>-94</c:v>
                </c:pt>
                <c:pt idx="51">
                  <c:v>-94</c:v>
                </c:pt>
              </c:numCache>
            </c:numRef>
          </c:val>
          <c:smooth val="0"/>
          <c:extLst>
            <c:ext xmlns:c16="http://schemas.microsoft.com/office/drawing/2014/chart" uri="{C3380CC4-5D6E-409C-BE32-E72D297353CC}">
              <c16:uniqueId val="{00000000-8A4B-A949-84D8-A7367604BFCF}"/>
            </c:ext>
          </c:extLst>
        </c:ser>
        <c:ser>
          <c:idx val="1"/>
          <c:order val="1"/>
          <c:tx>
            <c:strRef>
              <c:f>'10006 Exhibit'!$L$1</c:f>
              <c:strCache>
                <c:ptCount val="1"/>
                <c:pt idx="0">
                  <c:v>10005</c:v>
                </c:pt>
              </c:strCache>
            </c:strRef>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'10006 Exhibit'!$L$3:$L$62</c:f>
              <c:numCache>
                <c:formatCode>General</c:formatCode>
                <c:ptCount val="60"/>
                <c:pt idx="0">
                  <c:v>-88</c:v>
                </c:pt>
                <c:pt idx="1">
                  <c:v>-88</c:v>
                </c:pt>
                <c:pt idx="2">
                  <c:v>-88</c:v>
                </c:pt>
                <c:pt idx="3">
                  <c:v>-81</c:v>
                </c:pt>
                <c:pt idx="6">
                  <c:v>-85</c:v>
                </c:pt>
                <c:pt idx="7">
                  <c:v>-80</c:v>
                </c:pt>
                <c:pt idx="8">
                  <c:v>-83</c:v>
                </c:pt>
                <c:pt idx="9">
                  <c:v>-83</c:v>
                </c:pt>
                <c:pt idx="10">
                  <c:v>-82</c:v>
                </c:pt>
                <c:pt idx="11">
                  <c:v>-82</c:v>
                </c:pt>
                <c:pt idx="12">
                  <c:v>-82</c:v>
                </c:pt>
                <c:pt idx="13">
                  <c:v>-82</c:v>
                </c:pt>
                <c:pt idx="14">
                  <c:v>-82</c:v>
                </c:pt>
                <c:pt idx="15">
                  <c:v>-82</c:v>
                </c:pt>
                <c:pt idx="16">
                  <c:v>-82</c:v>
                </c:pt>
                <c:pt idx="17">
                  <c:v>-81</c:v>
                </c:pt>
                <c:pt idx="18">
                  <c:v>-81</c:v>
                </c:pt>
                <c:pt idx="19">
                  <c:v>-81</c:v>
                </c:pt>
                <c:pt idx="20">
                  <c:v>-81</c:v>
                </c:pt>
                <c:pt idx="21">
                  <c:v>-81</c:v>
                </c:pt>
                <c:pt idx="22">
                  <c:v>-82</c:v>
                </c:pt>
                <c:pt idx="23">
                  <c:v>-82</c:v>
                </c:pt>
                <c:pt idx="24">
                  <c:v>-81</c:v>
                </c:pt>
                <c:pt idx="25">
                  <c:v>-81</c:v>
                </c:pt>
                <c:pt idx="26">
                  <c:v>-83</c:v>
                </c:pt>
                <c:pt idx="27">
                  <c:v>-81</c:v>
                </c:pt>
                <c:pt idx="28">
                  <c:v>-83</c:v>
                </c:pt>
                <c:pt idx="30">
                  <c:v>-82</c:v>
                </c:pt>
                <c:pt idx="31">
                  <c:v>-81</c:v>
                </c:pt>
                <c:pt idx="33">
                  <c:v>-79</c:v>
                </c:pt>
                <c:pt idx="34">
                  <c:v>-82</c:v>
                </c:pt>
                <c:pt idx="35">
                  <c:v>-80</c:v>
                </c:pt>
                <c:pt idx="36">
                  <c:v>-80</c:v>
                </c:pt>
                <c:pt idx="37">
                  <c:v>-81</c:v>
                </c:pt>
                <c:pt idx="38">
                  <c:v>-81</c:v>
                </c:pt>
                <c:pt idx="39">
                  <c:v>-81</c:v>
                </c:pt>
                <c:pt idx="40">
                  <c:v>-81</c:v>
                </c:pt>
                <c:pt idx="41">
                  <c:v>-80</c:v>
                </c:pt>
                <c:pt idx="42">
                  <c:v>-80</c:v>
                </c:pt>
                <c:pt idx="43">
                  <c:v>-80</c:v>
                </c:pt>
                <c:pt idx="44">
                  <c:v>-80</c:v>
                </c:pt>
                <c:pt idx="45">
                  <c:v>-80</c:v>
                </c:pt>
                <c:pt idx="46">
                  <c:v>-80</c:v>
                </c:pt>
                <c:pt idx="47">
                  <c:v>-81</c:v>
                </c:pt>
                <c:pt idx="48">
                  <c:v>-81</c:v>
                </c:pt>
                <c:pt idx="49">
                  <c:v>-82</c:v>
                </c:pt>
                <c:pt idx="50">
                  <c:v>-81</c:v>
                </c:pt>
                <c:pt idx="51">
                  <c:v>-82</c:v>
                </c:pt>
                <c:pt idx="52">
                  <c:v>-81</c:v>
                </c:pt>
                <c:pt idx="53">
                  <c:v>-82</c:v>
                </c:pt>
                <c:pt idx="54">
                  <c:v>-81</c:v>
                </c:pt>
                <c:pt idx="55">
                  <c:v>-82</c:v>
                </c:pt>
                <c:pt idx="56">
                  <c:v>-82</c:v>
                </c:pt>
                <c:pt idx="57">
                  <c:v>-84</c:v>
                </c:pt>
                <c:pt idx="58">
                  <c:v>-82</c:v>
                </c:pt>
                <c:pt idx="59">
                  <c:v>-82</c:v>
                </c:pt>
              </c:numCache>
            </c:numRef>
          </c:val>
          <c:smooth val="0"/>
          <c:extLst>
            <c:ext xmlns:c16="http://schemas.microsoft.com/office/drawing/2014/chart" uri="{C3380CC4-5D6E-409C-BE32-E72D297353CC}">
              <c16:uniqueId val="{00000001-8A4B-A949-84D8-A7367604BFCF}"/>
            </c:ext>
          </c:extLst>
        </c:ser>
        <c:ser>
          <c:idx val="2"/>
          <c:order val="2"/>
          <c:tx>
            <c:strRef>
              <c:f>'10006 Exhibit'!$M$1</c:f>
              <c:strCache>
                <c:ptCount val="1"/>
                <c:pt idx="0">
                  <c:v>10006</c:v>
                </c:pt>
              </c:strCache>
            </c:strRef>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'10006 Exhibit'!$M$3:$M$62</c:f>
              <c:numCache>
                <c:formatCode>General</c:formatCode>
                <c:ptCount val="60"/>
                <c:pt idx="0">
                  <c:v>-47</c:v>
                </c:pt>
                <c:pt idx="1">
                  <c:v>-46</c:v>
                </c:pt>
                <c:pt idx="2">
                  <c:v>-46</c:v>
                </c:pt>
                <c:pt idx="3">
                  <c:v>-46</c:v>
                </c:pt>
                <c:pt idx="4">
                  <c:v>-44</c:v>
                </c:pt>
                <c:pt idx="5">
                  <c:v>-45</c:v>
                </c:pt>
                <c:pt idx="6">
                  <c:v>-46</c:v>
                </c:pt>
                <c:pt idx="7">
                  <c:v>-46</c:v>
                </c:pt>
                <c:pt idx="8">
                  <c:v>-46</c:v>
                </c:pt>
                <c:pt idx="9">
                  <c:v>-45</c:v>
                </c:pt>
                <c:pt idx="10">
                  <c:v>-45</c:v>
                </c:pt>
                <c:pt idx="11">
                  <c:v>-45</c:v>
                </c:pt>
                <c:pt idx="12">
                  <c:v>-45</c:v>
                </c:pt>
                <c:pt idx="13">
                  <c:v>-45</c:v>
                </c:pt>
                <c:pt idx="14">
                  <c:v>-45</c:v>
                </c:pt>
                <c:pt idx="15">
                  <c:v>-46</c:v>
                </c:pt>
                <c:pt idx="16">
                  <c:v>-45</c:v>
                </c:pt>
                <c:pt idx="17">
                  <c:v>-46</c:v>
                </c:pt>
                <c:pt idx="18">
                  <c:v>-46</c:v>
                </c:pt>
                <c:pt idx="19">
                  <c:v>-46</c:v>
                </c:pt>
                <c:pt idx="20">
                  <c:v>-46</c:v>
                </c:pt>
                <c:pt idx="21">
                  <c:v>-46</c:v>
                </c:pt>
                <c:pt idx="23">
                  <c:v>-46</c:v>
                </c:pt>
                <c:pt idx="24">
                  <c:v>-46</c:v>
                </c:pt>
                <c:pt idx="25">
                  <c:v>-45</c:v>
                </c:pt>
                <c:pt idx="26">
                  <c:v>-45</c:v>
                </c:pt>
                <c:pt idx="27">
                  <c:v>-46</c:v>
                </c:pt>
                <c:pt idx="28">
                  <c:v>-46</c:v>
                </c:pt>
                <c:pt idx="29">
                  <c:v>-46</c:v>
                </c:pt>
                <c:pt idx="30">
                  <c:v>-46</c:v>
                </c:pt>
                <c:pt idx="31">
                  <c:v>-45</c:v>
                </c:pt>
                <c:pt idx="32">
                  <c:v>-45</c:v>
                </c:pt>
                <c:pt idx="33">
                  <c:v>-45</c:v>
                </c:pt>
                <c:pt idx="34">
                  <c:v>-45</c:v>
                </c:pt>
                <c:pt idx="35">
                  <c:v>-45</c:v>
                </c:pt>
                <c:pt idx="36">
                  <c:v>-45</c:v>
                </c:pt>
                <c:pt idx="38">
                  <c:v>-45</c:v>
                </c:pt>
                <c:pt idx="39">
                  <c:v>-46</c:v>
                </c:pt>
                <c:pt idx="40">
                  <c:v>-45</c:v>
                </c:pt>
                <c:pt idx="42">
                  <c:v>-45</c:v>
                </c:pt>
                <c:pt idx="43">
                  <c:v>-46</c:v>
                </c:pt>
                <c:pt idx="44">
                  <c:v>-45</c:v>
                </c:pt>
                <c:pt idx="45">
                  <c:v>-46</c:v>
                </c:pt>
                <c:pt idx="46">
                  <c:v>-45</c:v>
                </c:pt>
                <c:pt idx="47">
                  <c:v>-46</c:v>
                </c:pt>
                <c:pt idx="48">
                  <c:v>-45</c:v>
                </c:pt>
                <c:pt idx="49">
                  <c:v>-45</c:v>
                </c:pt>
                <c:pt idx="50">
                  <c:v>-45</c:v>
                </c:pt>
                <c:pt idx="51">
                  <c:v>-45</c:v>
                </c:pt>
                <c:pt idx="52">
                  <c:v>-45</c:v>
                </c:pt>
                <c:pt idx="53">
                  <c:v>-45</c:v>
                </c:pt>
                <c:pt idx="54">
                  <c:v>-45</c:v>
                </c:pt>
                <c:pt idx="55">
                  <c:v>-45</c:v>
                </c:pt>
                <c:pt idx="56">
                  <c:v>-45</c:v>
                </c:pt>
                <c:pt idx="57">
                  <c:v>-45</c:v>
                </c:pt>
                <c:pt idx="58">
                  <c:v>-45</c:v>
                </c:pt>
                <c:pt idx="59">
                  <c:v>-45</c:v>
                </c:pt>
              </c:numCache>
            </c:numRef>
          </c:val>
          <c:smooth val="0"/>
          <c:extLst>
            <c:ext xmlns:c16="http://schemas.microsoft.com/office/drawing/2014/chart" uri="{C3380CC4-5D6E-409C-BE32-E72D297353CC}">
              <c16:uniqueId val="{00000002-8A4B-A949-84D8-A7367604BFCF}"/>
            </c:ext>
          </c:extLst>
        </c:ser>
        <c:ser>
          <c:idx val="3"/>
          <c:order val="3"/>
          <c:tx>
            <c:strRef>
              <c:f>'10006 Exhibit'!$N$1</c:f>
              <c:strCache>
                <c:ptCount val="1"/>
                <c:pt idx="0">
                  <c:v>Diffrence</c:v>
                </c:pt>
              </c:strCache>
            </c:strRef>
          </c:tx>
          <c:spPr>
            <a:ln w="22225" cap="rnd">
              <a:solidFill>
                <a:schemeClr val="accent4"/>
              </a:solidFill>
            </a:ln>
            <a:effectLst>
              <a:glow rad="139700">
                <a:schemeClr val="accent4">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'10006 Exhibit'!$N$3:$N$62</c:f>
              <c:numCache>
                <c:formatCode>General</c:formatCode>
                <c:ptCount val="60"/>
                <c:pt idx="0">
                  <c:v>41</c:v>
                </c:pt>
                <c:pt idx="1">
                  <c:v>42</c:v>
                </c:pt>
                <c:pt idx="2">
                  <c:v>42</c:v>
                </c:pt>
                <c:pt idx="3">
                  <c:v>35</c:v>
                </c:pt>
                <c:pt idx="6">
                  <c:v>39</c:v>
                </c:pt>
                <c:pt idx="7">
                  <c:v>34</c:v>
                </c:pt>
                <c:pt idx="8">
                  <c:v>37</c:v>
                </c:pt>
                <c:pt idx="9">
                  <c:v>38</c:v>
                </c:pt>
                <c:pt idx="10">
                  <c:v>37</c:v>
                </c:pt>
                <c:pt idx="11">
                  <c:v>37</c:v>
                </c:pt>
                <c:pt idx="12">
                  <c:v>37</c:v>
                </c:pt>
                <c:pt idx="13">
                  <c:v>37</c:v>
                </c:pt>
                <c:pt idx="14">
                  <c:v>37</c:v>
                </c:pt>
                <c:pt idx="15">
                  <c:v>36</c:v>
                </c:pt>
                <c:pt idx="16">
                  <c:v>37</c:v>
                </c:pt>
                <c:pt idx="17">
                  <c:v>35</c:v>
                </c:pt>
                <c:pt idx="18">
                  <c:v>35</c:v>
                </c:pt>
                <c:pt idx="19">
                  <c:v>35</c:v>
                </c:pt>
                <c:pt idx="20">
                  <c:v>35</c:v>
                </c:pt>
                <c:pt idx="21">
                  <c:v>35</c:v>
                </c:pt>
                <c:pt idx="23">
                  <c:v>36</c:v>
                </c:pt>
                <c:pt idx="24">
                  <c:v>35</c:v>
                </c:pt>
                <c:pt idx="25">
                  <c:v>36</c:v>
                </c:pt>
                <c:pt idx="26">
                  <c:v>38</c:v>
                </c:pt>
                <c:pt idx="27">
                  <c:v>35</c:v>
                </c:pt>
                <c:pt idx="28">
                  <c:v>37</c:v>
                </c:pt>
                <c:pt idx="30">
                  <c:v>36</c:v>
                </c:pt>
                <c:pt idx="31">
                  <c:v>36</c:v>
                </c:pt>
                <c:pt idx="33">
                  <c:v>34</c:v>
                </c:pt>
                <c:pt idx="34">
                  <c:v>37</c:v>
                </c:pt>
                <c:pt idx="35">
                  <c:v>35</c:v>
                </c:pt>
                <c:pt idx="36">
                  <c:v>35</c:v>
                </c:pt>
                <c:pt idx="38">
                  <c:v>36</c:v>
                </c:pt>
                <c:pt idx="39">
                  <c:v>35</c:v>
                </c:pt>
                <c:pt idx="40">
                  <c:v>36</c:v>
                </c:pt>
                <c:pt idx="42">
                  <c:v>35</c:v>
                </c:pt>
                <c:pt idx="43">
                  <c:v>34</c:v>
                </c:pt>
                <c:pt idx="44">
                  <c:v>35</c:v>
                </c:pt>
                <c:pt idx="45">
                  <c:v>34</c:v>
                </c:pt>
                <c:pt idx="46">
                  <c:v>35</c:v>
                </c:pt>
                <c:pt idx="47">
                  <c:v>35</c:v>
                </c:pt>
                <c:pt idx="48">
                  <c:v>36</c:v>
                </c:pt>
                <c:pt idx="49">
                  <c:v>37</c:v>
                </c:pt>
                <c:pt idx="50">
                  <c:v>36</c:v>
                </c:pt>
                <c:pt idx="51">
                  <c:v>37</c:v>
                </c:pt>
                <c:pt idx="52">
                  <c:v>36</c:v>
                </c:pt>
                <c:pt idx="53">
                  <c:v>37</c:v>
                </c:pt>
                <c:pt idx="54">
                  <c:v>36</c:v>
                </c:pt>
                <c:pt idx="55">
                  <c:v>37</c:v>
                </c:pt>
                <c:pt idx="56">
                  <c:v>37</c:v>
                </c:pt>
                <c:pt idx="57">
                  <c:v>39</c:v>
                </c:pt>
                <c:pt idx="58">
                  <c:v>37</c:v>
                </c:pt>
                <c:pt idx="59">
                  <c:v>37</c:v>
                </c:pt>
              </c:numCache>
            </c:numRef>
          </c:val>
          <c:smooth val="0"/>
          <c:extLst>
            <c:ext xmlns:c16="http://schemas.microsoft.com/office/drawing/2014/chart" uri="{C3380CC4-5D6E-409C-BE32-E72D297353CC}">
              <c16:uniqueId val="{00000003-8A4B-A949-84D8-A7367604BFCF}"/>
            </c:ext>
          </c:extLst>
        </c:ser>
        <c:dLbls>
          <c:dLblPos val="ctr"/>
          <c:showLegendKey val="0"/>
          <c:showVal val="1"/>
          <c:showCatName val="0"/>
          <c:showSerName val="0"/>
          <c:showPercent val="0"/>
          <c:showBubbleSize val="0"/>
        </c:dLbls>
        <c:smooth val="0"/>
        <c:axId val="1215183"/>
        <c:axId val="1216863"/>
      </c:lineChart>
      <c:catAx>
        <c:axId val="12151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6863"/>
        <c:crosses val="autoZero"/>
        <c:auto val="1"/>
        <c:lblAlgn val="ctr"/>
        <c:lblOffset val="100"/>
        <c:noMultiLvlLbl val="0"/>
      </c:catAx>
      <c:valAx>
        <c:axId val="1216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15183"/>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16</xdr:col>
      <xdr:colOff>152400</xdr:colOff>
      <xdr:row>3</xdr:row>
      <xdr:rowOff>57150</xdr:rowOff>
    </xdr:from>
    <xdr:to>
      <xdr:col>32</xdr:col>
      <xdr:colOff>355600</xdr:colOff>
      <xdr:row>35</xdr:row>
      <xdr:rowOff>25400</xdr:rowOff>
    </xdr:to>
    <xdr:graphicFrame macro="">
      <xdr:nvGraphicFramePr>
        <xdr:cNvPr id="2" name="Chart 1">
          <a:extLst>
            <a:ext uri="{FF2B5EF4-FFF2-40B4-BE49-F238E27FC236}">
              <a16:creationId xmlns:a16="http://schemas.microsoft.com/office/drawing/2014/main" id="{5094A55D-AC03-6A49-BCB9-722CD499D4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38100</xdr:colOff>
      <xdr:row>4</xdr:row>
      <xdr:rowOff>88900</xdr:rowOff>
    </xdr:from>
    <xdr:to>
      <xdr:col>31</xdr:col>
      <xdr:colOff>241300</xdr:colOff>
      <xdr:row>36</xdr:row>
      <xdr:rowOff>57150</xdr:rowOff>
    </xdr:to>
    <xdr:graphicFrame macro="">
      <xdr:nvGraphicFramePr>
        <xdr:cNvPr id="2" name="Chart 1">
          <a:extLst>
            <a:ext uri="{FF2B5EF4-FFF2-40B4-BE49-F238E27FC236}">
              <a16:creationId xmlns:a16="http://schemas.microsoft.com/office/drawing/2014/main" id="{B1E11422-E12D-7249-8566-4685687264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444500</xdr:colOff>
      <xdr:row>1</xdr:row>
      <xdr:rowOff>127000</xdr:rowOff>
    </xdr:from>
    <xdr:to>
      <xdr:col>30</xdr:col>
      <xdr:colOff>647700</xdr:colOff>
      <xdr:row>33</xdr:row>
      <xdr:rowOff>95250</xdr:rowOff>
    </xdr:to>
    <xdr:graphicFrame macro="">
      <xdr:nvGraphicFramePr>
        <xdr:cNvPr id="2" name="Chart 1">
          <a:extLst>
            <a:ext uri="{FF2B5EF4-FFF2-40B4-BE49-F238E27FC236}">
              <a16:creationId xmlns:a16="http://schemas.microsoft.com/office/drawing/2014/main" id="{CB975EEC-9A5A-1343-8DD5-369FFB6465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190500</xdr:colOff>
      <xdr:row>0</xdr:row>
      <xdr:rowOff>63499</xdr:rowOff>
    </xdr:from>
    <xdr:to>
      <xdr:col>38</xdr:col>
      <xdr:colOff>465667</xdr:colOff>
      <xdr:row>52</xdr:row>
      <xdr:rowOff>126999</xdr:rowOff>
    </xdr:to>
    <xdr:graphicFrame macro="">
      <xdr:nvGraphicFramePr>
        <xdr:cNvPr id="2" name="Chart 1">
          <a:extLst>
            <a:ext uri="{FF2B5EF4-FFF2-40B4-BE49-F238E27FC236}">
              <a16:creationId xmlns:a16="http://schemas.microsoft.com/office/drawing/2014/main" id="{06A2B141-CA18-EF47-BD6F-9776F8ED9B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104</xdr:row>
      <xdr:rowOff>0</xdr:rowOff>
    </xdr:from>
    <xdr:to>
      <xdr:col>15</xdr:col>
      <xdr:colOff>762000</xdr:colOff>
      <xdr:row>138</xdr:row>
      <xdr:rowOff>165100</xdr:rowOff>
    </xdr:to>
    <xdr:graphicFrame macro="">
      <xdr:nvGraphicFramePr>
        <xdr:cNvPr id="2" name="Chart 1">
          <a:extLst>
            <a:ext uri="{FF2B5EF4-FFF2-40B4-BE49-F238E27FC236}">
              <a16:creationId xmlns:a16="http://schemas.microsoft.com/office/drawing/2014/main" id="{063A9137-769F-5848-9D61-3FBB3B9060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12700</xdr:colOff>
      <xdr:row>141</xdr:row>
      <xdr:rowOff>12700</xdr:rowOff>
    </xdr:from>
    <xdr:to>
      <xdr:col>15</xdr:col>
      <xdr:colOff>774700</xdr:colOff>
      <xdr:row>173</xdr:row>
      <xdr:rowOff>177800</xdr:rowOff>
    </xdr:to>
    <xdr:graphicFrame macro="">
      <xdr:nvGraphicFramePr>
        <xdr:cNvPr id="3" name="Chart 2">
          <a:extLst>
            <a:ext uri="{FF2B5EF4-FFF2-40B4-BE49-F238E27FC236}">
              <a16:creationId xmlns:a16="http://schemas.microsoft.com/office/drawing/2014/main" id="{F8340381-9E28-1D49-90F6-2E2AC59CDA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176</xdr:row>
      <xdr:rowOff>12700</xdr:rowOff>
    </xdr:from>
    <xdr:to>
      <xdr:col>15</xdr:col>
      <xdr:colOff>762000</xdr:colOff>
      <xdr:row>208</xdr:row>
      <xdr:rowOff>177800</xdr:rowOff>
    </xdr:to>
    <xdr:graphicFrame macro="">
      <xdr:nvGraphicFramePr>
        <xdr:cNvPr id="4" name="Chart 3">
          <a:extLst>
            <a:ext uri="{FF2B5EF4-FFF2-40B4-BE49-F238E27FC236}">
              <a16:creationId xmlns:a16="http://schemas.microsoft.com/office/drawing/2014/main" id="{30AE2664-A668-9E49-8630-F7DDA00E9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211</xdr:row>
      <xdr:rowOff>12700</xdr:rowOff>
    </xdr:from>
    <xdr:to>
      <xdr:col>23</xdr:col>
      <xdr:colOff>787400</xdr:colOff>
      <xdr:row>261</xdr:row>
      <xdr:rowOff>189089</xdr:rowOff>
    </xdr:to>
    <xdr:graphicFrame macro="">
      <xdr:nvGraphicFramePr>
        <xdr:cNvPr id="5" name="Chart 4">
          <a:extLst>
            <a:ext uri="{FF2B5EF4-FFF2-40B4-BE49-F238E27FC236}">
              <a16:creationId xmlns:a16="http://schemas.microsoft.com/office/drawing/2014/main" id="{97AF1A4A-B42C-984B-9ECB-8A97D60BAA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xdr:row>
      <xdr:rowOff>0</xdr:rowOff>
    </xdr:from>
    <xdr:to>
      <xdr:col>15</xdr:col>
      <xdr:colOff>762000</xdr:colOff>
      <xdr:row>33</xdr:row>
      <xdr:rowOff>171450</xdr:rowOff>
    </xdr:to>
    <xdr:graphicFrame macro="">
      <xdr:nvGraphicFramePr>
        <xdr:cNvPr id="6" name="Chart 5">
          <a:extLst>
            <a:ext uri="{FF2B5EF4-FFF2-40B4-BE49-F238E27FC236}">
              <a16:creationId xmlns:a16="http://schemas.microsoft.com/office/drawing/2014/main" id="{A082C0C5-AC94-9D4B-AB2A-DAB5582E0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36</xdr:row>
      <xdr:rowOff>0</xdr:rowOff>
    </xdr:from>
    <xdr:to>
      <xdr:col>15</xdr:col>
      <xdr:colOff>762000</xdr:colOff>
      <xdr:row>67</xdr:row>
      <xdr:rowOff>171450</xdr:rowOff>
    </xdr:to>
    <xdr:graphicFrame macro="">
      <xdr:nvGraphicFramePr>
        <xdr:cNvPr id="7" name="Chart 6">
          <a:extLst>
            <a:ext uri="{FF2B5EF4-FFF2-40B4-BE49-F238E27FC236}">
              <a16:creationId xmlns:a16="http://schemas.microsoft.com/office/drawing/2014/main" id="{640A99F3-6733-E042-B6E5-C41356FC20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70</xdr:row>
      <xdr:rowOff>0</xdr:rowOff>
    </xdr:from>
    <xdr:to>
      <xdr:col>15</xdr:col>
      <xdr:colOff>762000</xdr:colOff>
      <xdr:row>101</xdr:row>
      <xdr:rowOff>171450</xdr:rowOff>
    </xdr:to>
    <xdr:graphicFrame macro="">
      <xdr:nvGraphicFramePr>
        <xdr:cNvPr id="8" name="Chart 7">
          <a:extLst>
            <a:ext uri="{FF2B5EF4-FFF2-40B4-BE49-F238E27FC236}">
              <a16:creationId xmlns:a16="http://schemas.microsoft.com/office/drawing/2014/main" id="{1B0744FC-5687-AD46-AA9A-0E71A289B4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O172"/>
  <sheetViews>
    <sheetView topLeftCell="A12" workbookViewId="0">
      <selection activeCell="O53" sqref="O53"/>
    </sheetView>
  </sheetViews>
  <sheetFormatPr baseColWidth="10" defaultRowHeight="16" x14ac:dyDescent="0.2"/>
  <cols>
    <col min="1" max="2" width="6.1640625" bestFit="1" customWidth="1"/>
    <col min="3" max="3" width="4" bestFit="1" customWidth="1"/>
    <col min="4" max="4" width="8.1640625" bestFit="1" customWidth="1"/>
    <col min="5" max="5" width="10.1640625" bestFit="1" customWidth="1"/>
    <col min="6" max="6" width="17.83203125" bestFit="1" customWidth="1"/>
  </cols>
  <sheetData>
    <row r="1" spans="1:15" x14ac:dyDescent="0.2">
      <c r="A1" t="s">
        <v>0</v>
      </c>
      <c r="B1" t="s">
        <v>1</v>
      </c>
      <c r="C1" t="s">
        <v>2</v>
      </c>
      <c r="D1" t="s">
        <v>3</v>
      </c>
      <c r="E1" t="s">
        <v>4</v>
      </c>
      <c r="F1" t="s">
        <v>5</v>
      </c>
      <c r="J1" t="s">
        <v>189</v>
      </c>
      <c r="K1">
        <v>10004</v>
      </c>
      <c r="L1">
        <v>10005</v>
      </c>
      <c r="M1">
        <v>10006</v>
      </c>
      <c r="O1" t="s">
        <v>190</v>
      </c>
    </row>
    <row r="2" spans="1:15" x14ac:dyDescent="0.2">
      <c r="A2">
        <v>10004</v>
      </c>
      <c r="B2">
        <v>54480</v>
      </c>
      <c r="C2">
        <v>-49</v>
      </c>
      <c r="D2">
        <v>0.01</v>
      </c>
      <c r="E2" t="s">
        <v>8</v>
      </c>
      <c r="F2" t="s">
        <v>128</v>
      </c>
      <c r="G2">
        <v>1</v>
      </c>
      <c r="K2" t="s">
        <v>2</v>
      </c>
      <c r="L2" t="s">
        <v>2</v>
      </c>
      <c r="M2" t="s">
        <v>2</v>
      </c>
    </row>
    <row r="3" spans="1:15" x14ac:dyDescent="0.2">
      <c r="A3">
        <v>10004</v>
      </c>
      <c r="B3">
        <v>54480</v>
      </c>
      <c r="C3">
        <v>-50</v>
      </c>
      <c r="D3">
        <v>0.01</v>
      </c>
      <c r="E3" t="s">
        <v>8</v>
      </c>
      <c r="F3" t="s">
        <v>127</v>
      </c>
      <c r="J3">
        <v>1</v>
      </c>
      <c r="K3">
        <v>-49</v>
      </c>
      <c r="O3">
        <v>49</v>
      </c>
    </row>
    <row r="4" spans="1:15" x14ac:dyDescent="0.2">
      <c r="A4">
        <v>10005</v>
      </c>
      <c r="B4">
        <v>54480</v>
      </c>
      <c r="C4">
        <v>-92</v>
      </c>
      <c r="D4">
        <v>2.15</v>
      </c>
      <c r="E4" t="s">
        <v>6</v>
      </c>
      <c r="F4" t="s">
        <v>127</v>
      </c>
      <c r="J4">
        <v>2</v>
      </c>
      <c r="K4">
        <v>-50</v>
      </c>
      <c r="L4">
        <v>-92</v>
      </c>
      <c r="M4">
        <v>-94</v>
      </c>
      <c r="N4">
        <v>-92</v>
      </c>
      <c r="O4">
        <v>42</v>
      </c>
    </row>
    <row r="5" spans="1:15" x14ac:dyDescent="0.2">
      <c r="A5">
        <v>10006</v>
      </c>
      <c r="B5">
        <v>54480</v>
      </c>
      <c r="C5">
        <v>-94</v>
      </c>
      <c r="D5">
        <v>2.78</v>
      </c>
      <c r="E5" t="s">
        <v>6</v>
      </c>
      <c r="F5" t="s">
        <v>127</v>
      </c>
      <c r="J5">
        <v>3</v>
      </c>
      <c r="K5">
        <v>-50</v>
      </c>
      <c r="L5">
        <v>-92</v>
      </c>
      <c r="N5">
        <v>-92</v>
      </c>
      <c r="O5">
        <v>42</v>
      </c>
    </row>
    <row r="6" spans="1:15" x14ac:dyDescent="0.2">
      <c r="A6">
        <v>10006</v>
      </c>
      <c r="B6">
        <v>54480</v>
      </c>
      <c r="C6">
        <v>0</v>
      </c>
      <c r="D6">
        <v>-1</v>
      </c>
      <c r="F6" t="s">
        <v>126</v>
      </c>
      <c r="J6">
        <v>4</v>
      </c>
      <c r="K6">
        <v>-49</v>
      </c>
      <c r="O6">
        <v>49</v>
      </c>
    </row>
    <row r="7" spans="1:15" x14ac:dyDescent="0.2">
      <c r="A7">
        <v>10004</v>
      </c>
      <c r="B7">
        <v>54480</v>
      </c>
      <c r="C7">
        <v>-50</v>
      </c>
      <c r="D7">
        <v>0.01</v>
      </c>
      <c r="E7" t="s">
        <v>8</v>
      </c>
      <c r="F7" t="s">
        <v>126</v>
      </c>
      <c r="J7">
        <v>5</v>
      </c>
      <c r="K7">
        <v>-49</v>
      </c>
      <c r="L7">
        <v>-91</v>
      </c>
      <c r="M7">
        <v>-96</v>
      </c>
      <c r="N7">
        <v>-91</v>
      </c>
      <c r="O7">
        <v>42</v>
      </c>
    </row>
    <row r="8" spans="1:15" x14ac:dyDescent="0.2">
      <c r="A8">
        <v>10005</v>
      </c>
      <c r="B8">
        <v>54480</v>
      </c>
      <c r="C8">
        <v>-92</v>
      </c>
      <c r="D8">
        <v>2.15</v>
      </c>
      <c r="E8" t="s">
        <v>6</v>
      </c>
      <c r="F8" t="s">
        <v>126</v>
      </c>
      <c r="J8">
        <v>6</v>
      </c>
      <c r="K8">
        <v>-49</v>
      </c>
      <c r="L8">
        <v>-87</v>
      </c>
      <c r="M8">
        <v>-96</v>
      </c>
      <c r="N8">
        <v>-87</v>
      </c>
      <c r="O8">
        <v>38</v>
      </c>
    </row>
    <row r="9" spans="1:15" x14ac:dyDescent="0.2">
      <c r="A9">
        <v>10005</v>
      </c>
      <c r="B9">
        <v>54480</v>
      </c>
      <c r="C9">
        <v>0</v>
      </c>
      <c r="D9">
        <v>-1</v>
      </c>
      <c r="F9" t="s">
        <v>125</v>
      </c>
      <c r="J9">
        <v>7</v>
      </c>
      <c r="K9">
        <v>-49</v>
      </c>
      <c r="L9">
        <v>-93</v>
      </c>
      <c r="N9">
        <v>-93</v>
      </c>
      <c r="O9">
        <v>44</v>
      </c>
    </row>
    <row r="10" spans="1:15" x14ac:dyDescent="0.2">
      <c r="A10">
        <v>10006</v>
      </c>
      <c r="B10">
        <v>54480</v>
      </c>
      <c r="C10">
        <v>0</v>
      </c>
      <c r="D10">
        <v>-1</v>
      </c>
      <c r="F10" t="s">
        <v>125</v>
      </c>
      <c r="J10">
        <v>8</v>
      </c>
      <c r="K10">
        <v>-49</v>
      </c>
      <c r="L10">
        <v>-87</v>
      </c>
      <c r="N10">
        <v>-87</v>
      </c>
      <c r="O10">
        <v>38</v>
      </c>
    </row>
    <row r="11" spans="1:15" x14ac:dyDescent="0.2">
      <c r="A11">
        <v>10004</v>
      </c>
      <c r="B11">
        <v>54480</v>
      </c>
      <c r="C11">
        <v>-49</v>
      </c>
      <c r="D11">
        <v>0.01</v>
      </c>
      <c r="E11" t="s">
        <v>8</v>
      </c>
      <c r="F11" t="s">
        <v>125</v>
      </c>
      <c r="J11">
        <v>9</v>
      </c>
      <c r="K11">
        <v>-49</v>
      </c>
      <c r="L11">
        <v>-85</v>
      </c>
      <c r="N11">
        <v>-85</v>
      </c>
      <c r="O11">
        <v>36</v>
      </c>
    </row>
    <row r="12" spans="1:15" x14ac:dyDescent="0.2">
      <c r="A12">
        <v>10004</v>
      </c>
      <c r="B12">
        <v>54480</v>
      </c>
      <c r="C12">
        <v>-49</v>
      </c>
      <c r="D12">
        <v>0.01</v>
      </c>
      <c r="E12" t="s">
        <v>8</v>
      </c>
      <c r="F12" t="s">
        <v>124</v>
      </c>
      <c r="J12">
        <v>10</v>
      </c>
      <c r="K12">
        <v>-49</v>
      </c>
      <c r="L12">
        <v>-86</v>
      </c>
      <c r="N12">
        <v>-86</v>
      </c>
      <c r="O12">
        <v>37</v>
      </c>
    </row>
    <row r="13" spans="1:15" x14ac:dyDescent="0.2">
      <c r="A13">
        <v>10005</v>
      </c>
      <c r="B13">
        <v>54480</v>
      </c>
      <c r="C13">
        <v>-91</v>
      </c>
      <c r="D13">
        <v>2.02</v>
      </c>
      <c r="E13" t="s">
        <v>6</v>
      </c>
      <c r="F13" t="s">
        <v>124</v>
      </c>
      <c r="J13">
        <v>11</v>
      </c>
      <c r="K13">
        <v>-49</v>
      </c>
      <c r="O13">
        <v>49</v>
      </c>
    </row>
    <row r="14" spans="1:15" x14ac:dyDescent="0.2">
      <c r="A14">
        <v>10006</v>
      </c>
      <c r="B14">
        <v>54480</v>
      </c>
      <c r="C14">
        <v>-96</v>
      </c>
      <c r="D14">
        <v>3.38</v>
      </c>
      <c r="E14" t="s">
        <v>6</v>
      </c>
      <c r="F14" t="s">
        <v>124</v>
      </c>
      <c r="J14">
        <v>12</v>
      </c>
      <c r="K14">
        <v>-49</v>
      </c>
      <c r="O14">
        <v>49</v>
      </c>
    </row>
    <row r="15" spans="1:15" x14ac:dyDescent="0.2">
      <c r="A15">
        <v>10004</v>
      </c>
      <c r="B15">
        <v>54480</v>
      </c>
      <c r="C15">
        <v>-49</v>
      </c>
      <c r="D15">
        <v>0.01</v>
      </c>
      <c r="E15" t="s">
        <v>8</v>
      </c>
      <c r="F15" t="s">
        <v>123</v>
      </c>
      <c r="J15">
        <v>13</v>
      </c>
      <c r="K15">
        <v>-49</v>
      </c>
      <c r="L15">
        <v>-85</v>
      </c>
      <c r="N15">
        <v>-85</v>
      </c>
      <c r="O15">
        <v>36</v>
      </c>
    </row>
    <row r="16" spans="1:15" x14ac:dyDescent="0.2">
      <c r="A16">
        <v>10005</v>
      </c>
      <c r="B16">
        <v>54480</v>
      </c>
      <c r="C16">
        <v>-87</v>
      </c>
      <c r="D16">
        <v>1.5</v>
      </c>
      <c r="E16" t="s">
        <v>6</v>
      </c>
      <c r="F16" t="s">
        <v>123</v>
      </c>
      <c r="J16">
        <v>14</v>
      </c>
      <c r="K16">
        <v>-49</v>
      </c>
      <c r="L16">
        <v>-88</v>
      </c>
      <c r="N16">
        <v>-88</v>
      </c>
      <c r="O16">
        <v>39</v>
      </c>
    </row>
    <row r="17" spans="1:15" x14ac:dyDescent="0.2">
      <c r="A17">
        <v>10006</v>
      </c>
      <c r="B17">
        <v>54480</v>
      </c>
      <c r="C17">
        <v>-96</v>
      </c>
      <c r="D17">
        <v>3.5</v>
      </c>
      <c r="E17" t="s">
        <v>6</v>
      </c>
      <c r="F17" t="s">
        <v>123</v>
      </c>
      <c r="J17">
        <v>15</v>
      </c>
      <c r="K17">
        <v>-49</v>
      </c>
      <c r="L17">
        <v>-86</v>
      </c>
      <c r="N17">
        <v>-86</v>
      </c>
      <c r="O17">
        <v>37</v>
      </c>
    </row>
    <row r="18" spans="1:15" x14ac:dyDescent="0.2">
      <c r="A18">
        <v>10006</v>
      </c>
      <c r="B18">
        <v>54480</v>
      </c>
      <c r="C18">
        <v>0</v>
      </c>
      <c r="D18">
        <v>-1</v>
      </c>
      <c r="F18" t="s">
        <v>122</v>
      </c>
      <c r="J18">
        <v>16</v>
      </c>
      <c r="L18">
        <v>-85</v>
      </c>
      <c r="N18">
        <v>-85</v>
      </c>
    </row>
    <row r="19" spans="1:15" x14ac:dyDescent="0.2">
      <c r="A19">
        <v>10004</v>
      </c>
      <c r="B19">
        <v>54480</v>
      </c>
      <c r="C19">
        <v>-49</v>
      </c>
      <c r="D19">
        <v>0.01</v>
      </c>
      <c r="E19" t="s">
        <v>8</v>
      </c>
      <c r="F19" t="s">
        <v>122</v>
      </c>
      <c r="J19">
        <v>17</v>
      </c>
      <c r="K19">
        <v>-49</v>
      </c>
      <c r="L19">
        <v>-87</v>
      </c>
      <c r="N19">
        <v>-87</v>
      </c>
      <c r="O19">
        <v>38</v>
      </c>
    </row>
    <row r="20" spans="1:15" x14ac:dyDescent="0.2">
      <c r="A20">
        <v>10005</v>
      </c>
      <c r="B20">
        <v>54480</v>
      </c>
      <c r="C20">
        <v>-93</v>
      </c>
      <c r="D20">
        <v>1.73</v>
      </c>
      <c r="E20" t="s">
        <v>6</v>
      </c>
      <c r="F20" t="s">
        <v>122</v>
      </c>
      <c r="J20">
        <v>18</v>
      </c>
      <c r="K20">
        <v>-49</v>
      </c>
      <c r="L20">
        <v>-87</v>
      </c>
      <c r="N20">
        <v>-87</v>
      </c>
      <c r="O20">
        <v>38</v>
      </c>
    </row>
    <row r="21" spans="1:15" x14ac:dyDescent="0.2">
      <c r="A21">
        <v>10006</v>
      </c>
      <c r="B21">
        <v>54480</v>
      </c>
      <c r="C21">
        <v>0</v>
      </c>
      <c r="D21">
        <v>-1</v>
      </c>
      <c r="F21" t="s">
        <v>121</v>
      </c>
      <c r="J21">
        <v>19</v>
      </c>
      <c r="K21">
        <v>-49</v>
      </c>
      <c r="L21">
        <v>-86</v>
      </c>
      <c r="N21">
        <v>-86</v>
      </c>
      <c r="O21">
        <v>37</v>
      </c>
    </row>
    <row r="22" spans="1:15" x14ac:dyDescent="0.2">
      <c r="A22">
        <v>10004</v>
      </c>
      <c r="B22">
        <v>54480</v>
      </c>
      <c r="C22">
        <v>-49</v>
      </c>
      <c r="D22">
        <v>0.01</v>
      </c>
      <c r="E22" t="s">
        <v>8</v>
      </c>
      <c r="F22" t="s">
        <v>121</v>
      </c>
      <c r="J22">
        <v>20</v>
      </c>
      <c r="K22">
        <v>-49</v>
      </c>
      <c r="L22">
        <v>-86</v>
      </c>
      <c r="M22">
        <v>-98</v>
      </c>
      <c r="N22">
        <v>-86</v>
      </c>
      <c r="O22">
        <v>37</v>
      </c>
    </row>
    <row r="23" spans="1:15" x14ac:dyDescent="0.2">
      <c r="A23">
        <v>10005</v>
      </c>
      <c r="B23">
        <v>54480</v>
      </c>
      <c r="C23">
        <v>-87</v>
      </c>
      <c r="D23">
        <v>1.51</v>
      </c>
      <c r="E23" t="s">
        <v>6</v>
      </c>
      <c r="F23" t="s">
        <v>121</v>
      </c>
      <c r="J23">
        <v>21</v>
      </c>
      <c r="L23">
        <v>-86</v>
      </c>
      <c r="N23">
        <v>-86</v>
      </c>
    </row>
    <row r="24" spans="1:15" x14ac:dyDescent="0.2">
      <c r="A24">
        <v>10006</v>
      </c>
      <c r="B24">
        <v>54480</v>
      </c>
      <c r="C24">
        <v>0</v>
      </c>
      <c r="D24">
        <v>-1</v>
      </c>
      <c r="F24" t="s">
        <v>120</v>
      </c>
      <c r="J24">
        <v>22</v>
      </c>
      <c r="K24">
        <v>-49</v>
      </c>
      <c r="L24">
        <v>-86</v>
      </c>
      <c r="M24">
        <v>-96</v>
      </c>
      <c r="N24">
        <v>-86</v>
      </c>
      <c r="O24">
        <v>37</v>
      </c>
    </row>
    <row r="25" spans="1:15" x14ac:dyDescent="0.2">
      <c r="A25">
        <v>10004</v>
      </c>
      <c r="B25">
        <v>54480</v>
      </c>
      <c r="C25">
        <v>-49</v>
      </c>
      <c r="D25">
        <v>0.01</v>
      </c>
      <c r="E25" t="s">
        <v>8</v>
      </c>
      <c r="F25" t="s">
        <v>120</v>
      </c>
      <c r="J25">
        <v>23</v>
      </c>
      <c r="K25">
        <v>-49</v>
      </c>
      <c r="O25">
        <v>49</v>
      </c>
    </row>
    <row r="26" spans="1:15" x14ac:dyDescent="0.2">
      <c r="A26">
        <v>10005</v>
      </c>
      <c r="B26">
        <v>54480</v>
      </c>
      <c r="C26">
        <v>-85</v>
      </c>
      <c r="D26">
        <v>1.3</v>
      </c>
      <c r="E26" t="s">
        <v>6</v>
      </c>
      <c r="F26" t="s">
        <v>120</v>
      </c>
      <c r="J26">
        <v>24</v>
      </c>
      <c r="K26">
        <v>-49</v>
      </c>
      <c r="L26">
        <v>-94</v>
      </c>
      <c r="N26">
        <v>-94</v>
      </c>
      <c r="O26">
        <v>45</v>
      </c>
    </row>
    <row r="27" spans="1:15" x14ac:dyDescent="0.2">
      <c r="A27">
        <v>10006</v>
      </c>
      <c r="B27">
        <v>54480</v>
      </c>
      <c r="C27">
        <v>0</v>
      </c>
      <c r="D27">
        <v>-1</v>
      </c>
      <c r="F27" t="s">
        <v>119</v>
      </c>
      <c r="J27">
        <v>25</v>
      </c>
      <c r="K27">
        <v>-49</v>
      </c>
      <c r="L27">
        <v>-88</v>
      </c>
      <c r="N27">
        <v>-88</v>
      </c>
      <c r="O27">
        <v>39</v>
      </c>
    </row>
    <row r="28" spans="1:15" x14ac:dyDescent="0.2">
      <c r="A28">
        <v>10004</v>
      </c>
      <c r="B28">
        <v>54480</v>
      </c>
      <c r="C28">
        <v>-49</v>
      </c>
      <c r="D28">
        <v>0.01</v>
      </c>
      <c r="E28" t="s">
        <v>8</v>
      </c>
      <c r="F28" t="s">
        <v>119</v>
      </c>
      <c r="J28">
        <v>26</v>
      </c>
      <c r="K28">
        <v>-49</v>
      </c>
      <c r="L28">
        <v>-86</v>
      </c>
      <c r="N28">
        <v>-86</v>
      </c>
      <c r="O28">
        <v>37</v>
      </c>
    </row>
    <row r="29" spans="1:15" x14ac:dyDescent="0.2">
      <c r="A29">
        <v>10005</v>
      </c>
      <c r="B29">
        <v>54480</v>
      </c>
      <c r="C29">
        <v>-86</v>
      </c>
      <c r="D29">
        <v>1.22</v>
      </c>
      <c r="E29" t="s">
        <v>6</v>
      </c>
      <c r="F29" t="s">
        <v>119</v>
      </c>
      <c r="J29">
        <v>27</v>
      </c>
      <c r="K29">
        <v>-49</v>
      </c>
      <c r="O29">
        <v>49</v>
      </c>
    </row>
    <row r="30" spans="1:15" x14ac:dyDescent="0.2">
      <c r="A30">
        <v>10005</v>
      </c>
      <c r="B30">
        <v>54480</v>
      </c>
      <c r="C30">
        <v>0</v>
      </c>
      <c r="D30">
        <v>-1</v>
      </c>
      <c r="F30" t="s">
        <v>118</v>
      </c>
      <c r="J30">
        <v>28</v>
      </c>
      <c r="K30">
        <v>-49</v>
      </c>
      <c r="O30">
        <v>49</v>
      </c>
    </row>
    <row r="31" spans="1:15" x14ac:dyDescent="0.2">
      <c r="A31">
        <v>10006</v>
      </c>
      <c r="B31">
        <v>54480</v>
      </c>
      <c r="C31">
        <v>0</v>
      </c>
      <c r="D31">
        <v>-1</v>
      </c>
      <c r="F31" t="s">
        <v>118</v>
      </c>
      <c r="J31">
        <v>29</v>
      </c>
      <c r="K31">
        <v>-49</v>
      </c>
      <c r="M31">
        <v>-94</v>
      </c>
      <c r="N31">
        <v>-94</v>
      </c>
      <c r="O31">
        <v>45</v>
      </c>
    </row>
    <row r="32" spans="1:15" x14ac:dyDescent="0.2">
      <c r="A32">
        <v>10004</v>
      </c>
      <c r="B32">
        <v>54480</v>
      </c>
      <c r="C32">
        <v>-49</v>
      </c>
      <c r="D32">
        <v>0.01</v>
      </c>
      <c r="E32" t="s">
        <v>8</v>
      </c>
      <c r="F32" t="s">
        <v>118</v>
      </c>
      <c r="J32">
        <v>30</v>
      </c>
      <c r="K32">
        <v>-49</v>
      </c>
      <c r="L32">
        <v>-86</v>
      </c>
      <c r="M32">
        <v>-94</v>
      </c>
      <c r="N32">
        <v>-86</v>
      </c>
      <c r="O32">
        <v>37</v>
      </c>
    </row>
    <row r="33" spans="1:15" x14ac:dyDescent="0.2">
      <c r="A33">
        <v>10005</v>
      </c>
      <c r="B33">
        <v>54480</v>
      </c>
      <c r="C33">
        <v>0</v>
      </c>
      <c r="D33">
        <v>-1</v>
      </c>
      <c r="F33" t="s">
        <v>117</v>
      </c>
      <c r="J33">
        <v>31</v>
      </c>
      <c r="K33">
        <v>-49</v>
      </c>
      <c r="L33">
        <v>-93</v>
      </c>
      <c r="N33">
        <v>-93</v>
      </c>
      <c r="O33">
        <v>44</v>
      </c>
    </row>
    <row r="34" spans="1:15" x14ac:dyDescent="0.2">
      <c r="A34">
        <v>10006</v>
      </c>
      <c r="B34">
        <v>54480</v>
      </c>
      <c r="C34">
        <v>0</v>
      </c>
      <c r="D34">
        <v>-1</v>
      </c>
      <c r="F34" t="s">
        <v>117</v>
      </c>
      <c r="J34">
        <v>32</v>
      </c>
      <c r="K34">
        <v>-49</v>
      </c>
      <c r="L34">
        <v>-85</v>
      </c>
      <c r="N34">
        <v>-85</v>
      </c>
      <c r="O34">
        <v>36</v>
      </c>
    </row>
    <row r="35" spans="1:15" x14ac:dyDescent="0.2">
      <c r="A35">
        <v>10004</v>
      </c>
      <c r="B35">
        <v>54480</v>
      </c>
      <c r="C35">
        <v>-49</v>
      </c>
      <c r="D35">
        <v>0.01</v>
      </c>
      <c r="E35" t="s">
        <v>8</v>
      </c>
      <c r="F35" t="s">
        <v>117</v>
      </c>
      <c r="J35">
        <v>33</v>
      </c>
      <c r="K35">
        <v>-48</v>
      </c>
      <c r="O35">
        <v>48</v>
      </c>
    </row>
    <row r="36" spans="1:15" x14ac:dyDescent="0.2">
      <c r="A36">
        <v>10006</v>
      </c>
      <c r="B36">
        <v>54480</v>
      </c>
      <c r="C36">
        <v>0</v>
      </c>
      <c r="D36">
        <v>-1</v>
      </c>
      <c r="F36" t="s">
        <v>116</v>
      </c>
      <c r="J36">
        <v>34</v>
      </c>
      <c r="K36">
        <v>-49</v>
      </c>
      <c r="L36">
        <v>-87</v>
      </c>
      <c r="N36">
        <v>-87</v>
      </c>
      <c r="O36">
        <v>38</v>
      </c>
    </row>
    <row r="37" spans="1:15" x14ac:dyDescent="0.2">
      <c r="A37">
        <v>10004</v>
      </c>
      <c r="B37">
        <v>54480</v>
      </c>
      <c r="C37">
        <v>-49</v>
      </c>
      <c r="D37">
        <v>0.01</v>
      </c>
      <c r="E37" t="s">
        <v>8</v>
      </c>
      <c r="F37" t="s">
        <v>116</v>
      </c>
      <c r="J37">
        <v>35</v>
      </c>
      <c r="K37">
        <v>-49</v>
      </c>
      <c r="L37">
        <v>-93</v>
      </c>
      <c r="N37">
        <v>-93</v>
      </c>
      <c r="O37">
        <v>44</v>
      </c>
    </row>
    <row r="38" spans="1:15" x14ac:dyDescent="0.2">
      <c r="A38">
        <v>10005</v>
      </c>
      <c r="B38">
        <v>54480</v>
      </c>
      <c r="C38">
        <v>-85</v>
      </c>
      <c r="D38">
        <v>1.1399999999999999</v>
      </c>
      <c r="E38" t="s">
        <v>6</v>
      </c>
      <c r="F38" t="s">
        <v>116</v>
      </c>
      <c r="J38">
        <v>36</v>
      </c>
      <c r="K38">
        <v>-49</v>
      </c>
      <c r="L38">
        <v>-85</v>
      </c>
      <c r="N38">
        <v>-85</v>
      </c>
      <c r="O38">
        <v>36</v>
      </c>
    </row>
    <row r="39" spans="1:15" x14ac:dyDescent="0.2">
      <c r="A39">
        <v>10006</v>
      </c>
      <c r="B39">
        <v>54480</v>
      </c>
      <c r="C39">
        <v>0</v>
      </c>
      <c r="D39">
        <v>-1</v>
      </c>
      <c r="F39" t="s">
        <v>115</v>
      </c>
      <c r="J39">
        <v>37</v>
      </c>
      <c r="K39">
        <v>-49</v>
      </c>
      <c r="O39">
        <v>49</v>
      </c>
    </row>
    <row r="40" spans="1:15" x14ac:dyDescent="0.2">
      <c r="A40">
        <v>10004</v>
      </c>
      <c r="B40">
        <v>54480</v>
      </c>
      <c r="C40">
        <v>-49</v>
      </c>
      <c r="D40">
        <v>0.01</v>
      </c>
      <c r="E40" t="s">
        <v>8</v>
      </c>
      <c r="F40" t="s">
        <v>115</v>
      </c>
      <c r="J40">
        <v>38</v>
      </c>
      <c r="K40">
        <v>-48</v>
      </c>
      <c r="L40">
        <v>-85</v>
      </c>
      <c r="N40">
        <v>-85</v>
      </c>
      <c r="O40">
        <v>37</v>
      </c>
    </row>
    <row r="41" spans="1:15" x14ac:dyDescent="0.2">
      <c r="A41">
        <v>10005</v>
      </c>
      <c r="B41">
        <v>54480</v>
      </c>
      <c r="C41">
        <v>-88</v>
      </c>
      <c r="D41">
        <v>1.18</v>
      </c>
      <c r="E41" t="s">
        <v>6</v>
      </c>
      <c r="F41" t="s">
        <v>115</v>
      </c>
      <c r="J41">
        <v>39</v>
      </c>
      <c r="K41">
        <v>-49</v>
      </c>
      <c r="L41">
        <v>-85</v>
      </c>
      <c r="M41">
        <v>-91</v>
      </c>
      <c r="N41">
        <v>-85</v>
      </c>
      <c r="O41">
        <v>36</v>
      </c>
    </row>
    <row r="42" spans="1:15" x14ac:dyDescent="0.2">
      <c r="A42">
        <v>10006</v>
      </c>
      <c r="B42">
        <v>54480</v>
      </c>
      <c r="C42">
        <v>0</v>
      </c>
      <c r="D42">
        <v>-1</v>
      </c>
      <c r="F42" t="s">
        <v>114</v>
      </c>
      <c r="J42">
        <v>40</v>
      </c>
      <c r="K42">
        <v>-49</v>
      </c>
      <c r="O42">
        <v>49</v>
      </c>
    </row>
    <row r="43" spans="1:15" x14ac:dyDescent="0.2">
      <c r="A43">
        <v>10004</v>
      </c>
      <c r="B43">
        <v>54480</v>
      </c>
      <c r="C43">
        <v>-49</v>
      </c>
      <c r="D43">
        <v>0.01</v>
      </c>
      <c r="E43" t="s">
        <v>8</v>
      </c>
      <c r="F43" t="s">
        <v>114</v>
      </c>
      <c r="J43">
        <v>41</v>
      </c>
      <c r="K43">
        <v>-49</v>
      </c>
      <c r="L43">
        <v>-93</v>
      </c>
      <c r="N43">
        <v>-93</v>
      </c>
      <c r="O43">
        <v>44</v>
      </c>
    </row>
    <row r="44" spans="1:15" x14ac:dyDescent="0.2">
      <c r="A44">
        <v>10005</v>
      </c>
      <c r="B44">
        <v>54480</v>
      </c>
      <c r="C44">
        <v>-86</v>
      </c>
      <c r="D44">
        <v>1.1399999999999999</v>
      </c>
      <c r="E44" t="s">
        <v>6</v>
      </c>
      <c r="F44" t="s">
        <v>114</v>
      </c>
      <c r="J44">
        <v>42</v>
      </c>
      <c r="K44">
        <v>-49</v>
      </c>
      <c r="L44">
        <v>-86</v>
      </c>
      <c r="N44">
        <v>-86</v>
      </c>
      <c r="O44">
        <v>37</v>
      </c>
    </row>
    <row r="45" spans="1:15" x14ac:dyDescent="0.2">
      <c r="A45">
        <v>10004</v>
      </c>
      <c r="B45">
        <v>54480</v>
      </c>
      <c r="C45">
        <v>0</v>
      </c>
      <c r="D45">
        <v>-1</v>
      </c>
      <c r="F45" t="s">
        <v>113</v>
      </c>
      <c r="J45">
        <v>43</v>
      </c>
      <c r="K45">
        <v>-49</v>
      </c>
      <c r="L45">
        <v>-85</v>
      </c>
      <c r="N45">
        <v>-85</v>
      </c>
      <c r="O45">
        <v>36</v>
      </c>
    </row>
    <row r="46" spans="1:15" x14ac:dyDescent="0.2">
      <c r="A46">
        <v>10006</v>
      </c>
      <c r="B46">
        <v>54480</v>
      </c>
      <c r="C46">
        <v>0</v>
      </c>
      <c r="D46">
        <v>-1</v>
      </c>
      <c r="F46" t="s">
        <v>113</v>
      </c>
      <c r="J46">
        <v>44</v>
      </c>
      <c r="K46">
        <v>-49</v>
      </c>
      <c r="L46">
        <v>-87</v>
      </c>
      <c r="N46">
        <v>-87</v>
      </c>
      <c r="O46">
        <v>38</v>
      </c>
    </row>
    <row r="47" spans="1:15" x14ac:dyDescent="0.2">
      <c r="A47">
        <v>10005</v>
      </c>
      <c r="B47">
        <v>54480</v>
      </c>
      <c r="C47">
        <v>-85</v>
      </c>
      <c r="D47">
        <v>1.08</v>
      </c>
      <c r="E47" t="s">
        <v>6</v>
      </c>
      <c r="F47" t="s">
        <v>113</v>
      </c>
      <c r="J47">
        <v>45</v>
      </c>
      <c r="K47">
        <v>-49</v>
      </c>
      <c r="L47">
        <v>-93</v>
      </c>
      <c r="M47">
        <v>-97</v>
      </c>
      <c r="N47">
        <v>-93</v>
      </c>
      <c r="O47">
        <v>44</v>
      </c>
    </row>
    <row r="48" spans="1:15" x14ac:dyDescent="0.2">
      <c r="A48">
        <v>10006</v>
      </c>
      <c r="B48">
        <v>54480</v>
      </c>
      <c r="C48">
        <v>0</v>
      </c>
      <c r="D48">
        <v>-1</v>
      </c>
      <c r="F48" t="s">
        <v>112</v>
      </c>
      <c r="J48">
        <v>46</v>
      </c>
      <c r="K48">
        <v>-49</v>
      </c>
      <c r="L48">
        <v>-86</v>
      </c>
      <c r="M48">
        <v>-97</v>
      </c>
      <c r="N48">
        <v>-86</v>
      </c>
      <c r="O48">
        <v>37</v>
      </c>
    </row>
    <row r="49" spans="1:15" x14ac:dyDescent="0.2">
      <c r="A49">
        <v>10004</v>
      </c>
      <c r="B49">
        <v>54480</v>
      </c>
      <c r="C49">
        <v>-49</v>
      </c>
      <c r="D49">
        <v>0.01</v>
      </c>
      <c r="E49" t="s">
        <v>8</v>
      </c>
      <c r="F49" t="s">
        <v>112</v>
      </c>
      <c r="J49">
        <v>47</v>
      </c>
      <c r="K49">
        <v>-49</v>
      </c>
      <c r="L49">
        <v>-86</v>
      </c>
      <c r="N49">
        <v>-86</v>
      </c>
      <c r="O49">
        <v>37</v>
      </c>
    </row>
    <row r="50" spans="1:15" x14ac:dyDescent="0.2">
      <c r="A50">
        <v>10005</v>
      </c>
      <c r="B50">
        <v>54480</v>
      </c>
      <c r="C50">
        <v>-87</v>
      </c>
      <c r="D50">
        <v>1.0900000000000001</v>
      </c>
      <c r="E50" t="s">
        <v>6</v>
      </c>
      <c r="F50" t="s">
        <v>112</v>
      </c>
      <c r="J50">
        <v>48</v>
      </c>
      <c r="K50">
        <v>-49</v>
      </c>
      <c r="L50">
        <v>-88</v>
      </c>
      <c r="N50">
        <v>-88</v>
      </c>
      <c r="O50">
        <v>39</v>
      </c>
    </row>
    <row r="51" spans="1:15" x14ac:dyDescent="0.2">
      <c r="A51">
        <v>10006</v>
      </c>
      <c r="B51">
        <v>54480</v>
      </c>
      <c r="C51">
        <v>0</v>
      </c>
      <c r="D51">
        <v>-1</v>
      </c>
      <c r="F51" t="s">
        <v>111</v>
      </c>
      <c r="J51">
        <v>49</v>
      </c>
      <c r="K51">
        <v>-49</v>
      </c>
      <c r="L51">
        <v>-87</v>
      </c>
      <c r="M51">
        <v>-96</v>
      </c>
      <c r="N51">
        <v>-87</v>
      </c>
      <c r="O51">
        <v>38</v>
      </c>
    </row>
    <row r="52" spans="1:15" x14ac:dyDescent="0.2">
      <c r="A52">
        <v>10004</v>
      </c>
      <c r="B52">
        <v>54480</v>
      </c>
      <c r="C52">
        <v>-49</v>
      </c>
      <c r="D52">
        <v>0.01</v>
      </c>
      <c r="E52" t="s">
        <v>8</v>
      </c>
      <c r="F52" t="s">
        <v>111</v>
      </c>
      <c r="J52">
        <v>50</v>
      </c>
      <c r="K52">
        <v>-49</v>
      </c>
      <c r="L52">
        <v>-93</v>
      </c>
      <c r="M52">
        <v>-94</v>
      </c>
      <c r="N52">
        <v>-93</v>
      </c>
      <c r="O52">
        <v>44</v>
      </c>
    </row>
    <row r="53" spans="1:15" x14ac:dyDescent="0.2">
      <c r="A53">
        <v>10005</v>
      </c>
      <c r="B53">
        <v>54480</v>
      </c>
      <c r="C53">
        <v>-87</v>
      </c>
      <c r="D53">
        <v>1.1000000000000001</v>
      </c>
      <c r="E53" t="s">
        <v>6</v>
      </c>
      <c r="F53" t="s">
        <v>111</v>
      </c>
      <c r="J53">
        <v>51</v>
      </c>
      <c r="K53">
        <v>-49</v>
      </c>
      <c r="M53">
        <v>-93</v>
      </c>
      <c r="N53">
        <v>-93</v>
      </c>
      <c r="O53">
        <v>44</v>
      </c>
    </row>
    <row r="54" spans="1:15" x14ac:dyDescent="0.2">
      <c r="A54">
        <v>10006</v>
      </c>
      <c r="B54">
        <v>54480</v>
      </c>
      <c r="C54">
        <v>0</v>
      </c>
      <c r="D54">
        <v>-1</v>
      </c>
      <c r="F54" t="s">
        <v>110</v>
      </c>
      <c r="J54">
        <v>52</v>
      </c>
      <c r="K54">
        <v>-49</v>
      </c>
      <c r="L54">
        <v>-91</v>
      </c>
      <c r="M54">
        <v>-94</v>
      </c>
      <c r="N54">
        <v>-91</v>
      </c>
      <c r="O54">
        <v>42</v>
      </c>
    </row>
    <row r="55" spans="1:15" x14ac:dyDescent="0.2">
      <c r="A55">
        <v>10004</v>
      </c>
      <c r="B55">
        <v>54480</v>
      </c>
      <c r="C55">
        <v>-49</v>
      </c>
      <c r="D55">
        <v>0.01</v>
      </c>
      <c r="E55" t="s">
        <v>8</v>
      </c>
      <c r="F55" t="s">
        <v>110</v>
      </c>
      <c r="J55">
        <v>53</v>
      </c>
      <c r="K55">
        <v>-49</v>
      </c>
      <c r="L55">
        <v>-86</v>
      </c>
      <c r="M55">
        <v>-94</v>
      </c>
      <c r="N55">
        <v>-86</v>
      </c>
      <c r="O55">
        <v>37</v>
      </c>
    </row>
    <row r="56" spans="1:15" x14ac:dyDescent="0.2">
      <c r="A56">
        <v>10005</v>
      </c>
      <c r="B56">
        <v>54480</v>
      </c>
      <c r="C56">
        <v>-86</v>
      </c>
      <c r="D56">
        <v>1.08</v>
      </c>
      <c r="E56" t="s">
        <v>6</v>
      </c>
      <c r="F56" t="s">
        <v>110</v>
      </c>
      <c r="J56">
        <v>54</v>
      </c>
    </row>
    <row r="57" spans="1:15" x14ac:dyDescent="0.2">
      <c r="A57">
        <v>10004</v>
      </c>
      <c r="B57">
        <v>54480</v>
      </c>
      <c r="C57">
        <v>-49</v>
      </c>
      <c r="D57">
        <v>0.01</v>
      </c>
      <c r="E57" t="s">
        <v>8</v>
      </c>
      <c r="F57" t="s">
        <v>109</v>
      </c>
      <c r="J57">
        <v>55</v>
      </c>
      <c r="K57">
        <v>-49</v>
      </c>
      <c r="L57">
        <v>-85</v>
      </c>
      <c r="N57">
        <v>-85</v>
      </c>
      <c r="O57">
        <v>36</v>
      </c>
    </row>
    <row r="58" spans="1:15" x14ac:dyDescent="0.2">
      <c r="A58">
        <v>10005</v>
      </c>
      <c r="B58">
        <v>54480</v>
      </c>
      <c r="C58">
        <v>-86</v>
      </c>
      <c r="D58">
        <v>1.07</v>
      </c>
      <c r="E58" t="s">
        <v>6</v>
      </c>
      <c r="F58" t="s">
        <v>109</v>
      </c>
      <c r="J58">
        <v>56</v>
      </c>
      <c r="K58">
        <v>-49</v>
      </c>
      <c r="M58">
        <v>-93</v>
      </c>
      <c r="N58">
        <v>-93</v>
      </c>
      <c r="O58">
        <v>44</v>
      </c>
    </row>
    <row r="59" spans="1:15" x14ac:dyDescent="0.2">
      <c r="A59">
        <v>10006</v>
      </c>
      <c r="B59">
        <v>54480</v>
      </c>
      <c r="C59">
        <v>-98</v>
      </c>
      <c r="D59">
        <v>4.6399999999999997</v>
      </c>
      <c r="E59" t="s">
        <v>72</v>
      </c>
      <c r="F59" t="s">
        <v>109</v>
      </c>
      <c r="J59">
        <v>57</v>
      </c>
      <c r="K59">
        <v>-49</v>
      </c>
      <c r="O59">
        <v>49</v>
      </c>
    </row>
    <row r="60" spans="1:15" x14ac:dyDescent="0.2">
      <c r="A60">
        <v>10004</v>
      </c>
      <c r="B60">
        <v>54480</v>
      </c>
      <c r="C60">
        <v>0</v>
      </c>
      <c r="D60">
        <v>-1</v>
      </c>
      <c r="F60" t="s">
        <v>108</v>
      </c>
      <c r="J60">
        <v>58</v>
      </c>
      <c r="K60">
        <v>-49</v>
      </c>
      <c r="L60">
        <v>-87</v>
      </c>
      <c r="N60">
        <v>-87</v>
      </c>
      <c r="O60">
        <v>38</v>
      </c>
    </row>
    <row r="61" spans="1:15" x14ac:dyDescent="0.2">
      <c r="A61">
        <v>10006</v>
      </c>
      <c r="B61">
        <v>54480</v>
      </c>
      <c r="C61">
        <v>0</v>
      </c>
      <c r="D61">
        <v>-1</v>
      </c>
      <c r="F61" t="s">
        <v>108</v>
      </c>
      <c r="J61">
        <v>59</v>
      </c>
      <c r="K61">
        <v>-49</v>
      </c>
      <c r="L61">
        <v>-86</v>
      </c>
      <c r="N61">
        <v>-86</v>
      </c>
      <c r="O61">
        <v>37</v>
      </c>
    </row>
    <row r="62" spans="1:15" x14ac:dyDescent="0.2">
      <c r="A62">
        <v>10005</v>
      </c>
      <c r="B62">
        <v>54480</v>
      </c>
      <c r="C62">
        <v>-86</v>
      </c>
      <c r="D62">
        <v>1.06</v>
      </c>
      <c r="E62" t="s">
        <v>6</v>
      </c>
      <c r="F62" t="s">
        <v>108</v>
      </c>
      <c r="J62">
        <v>60</v>
      </c>
      <c r="K62">
        <v>-49</v>
      </c>
      <c r="L62">
        <v>-87</v>
      </c>
      <c r="M62">
        <v>-94</v>
      </c>
      <c r="N62">
        <v>-87</v>
      </c>
      <c r="O62">
        <v>38</v>
      </c>
    </row>
    <row r="63" spans="1:15" x14ac:dyDescent="0.2">
      <c r="A63">
        <v>10004</v>
      </c>
      <c r="B63">
        <v>54480</v>
      </c>
      <c r="C63">
        <v>-49</v>
      </c>
      <c r="D63">
        <v>0.01</v>
      </c>
      <c r="E63" t="s">
        <v>8</v>
      </c>
      <c r="F63" t="s">
        <v>107</v>
      </c>
    </row>
    <row r="64" spans="1:15" x14ac:dyDescent="0.2">
      <c r="A64">
        <v>10005</v>
      </c>
      <c r="B64">
        <v>54480</v>
      </c>
      <c r="C64">
        <v>-86</v>
      </c>
      <c r="D64">
        <v>1.05</v>
      </c>
      <c r="E64" t="s">
        <v>6</v>
      </c>
      <c r="F64" t="s">
        <v>107</v>
      </c>
    </row>
    <row r="65" spans="1:6" x14ac:dyDescent="0.2">
      <c r="A65">
        <v>10006</v>
      </c>
      <c r="B65">
        <v>54480</v>
      </c>
      <c r="C65">
        <v>-96</v>
      </c>
      <c r="D65">
        <v>3.87</v>
      </c>
      <c r="E65" t="s">
        <v>72</v>
      </c>
      <c r="F65" t="s">
        <v>107</v>
      </c>
    </row>
    <row r="66" spans="1:6" x14ac:dyDescent="0.2">
      <c r="A66">
        <v>10005</v>
      </c>
      <c r="B66">
        <v>54480</v>
      </c>
      <c r="C66">
        <v>0</v>
      </c>
      <c r="D66">
        <v>-1</v>
      </c>
      <c r="F66" t="s">
        <v>106</v>
      </c>
    </row>
    <row r="67" spans="1:6" x14ac:dyDescent="0.2">
      <c r="A67">
        <v>10006</v>
      </c>
      <c r="B67">
        <v>54480</v>
      </c>
      <c r="C67">
        <v>0</v>
      </c>
      <c r="D67">
        <v>-1</v>
      </c>
      <c r="F67" t="s">
        <v>106</v>
      </c>
    </row>
    <row r="68" spans="1:6" x14ac:dyDescent="0.2">
      <c r="A68">
        <v>10004</v>
      </c>
      <c r="B68">
        <v>54480</v>
      </c>
      <c r="C68">
        <v>-49</v>
      </c>
      <c r="D68">
        <v>0.01</v>
      </c>
      <c r="E68" t="s">
        <v>8</v>
      </c>
      <c r="F68" t="s">
        <v>106</v>
      </c>
    </row>
    <row r="69" spans="1:6" x14ac:dyDescent="0.2">
      <c r="A69">
        <v>10006</v>
      </c>
      <c r="B69">
        <v>54480</v>
      </c>
      <c r="C69">
        <v>0</v>
      </c>
      <c r="D69">
        <v>-1</v>
      </c>
      <c r="F69" t="s">
        <v>105</v>
      </c>
    </row>
    <row r="70" spans="1:6" x14ac:dyDescent="0.2">
      <c r="A70">
        <v>10004</v>
      </c>
      <c r="B70">
        <v>54480</v>
      </c>
      <c r="C70">
        <v>-49</v>
      </c>
      <c r="D70">
        <v>0.01</v>
      </c>
      <c r="E70" t="s">
        <v>8</v>
      </c>
      <c r="F70" t="s">
        <v>105</v>
      </c>
    </row>
    <row r="71" spans="1:6" x14ac:dyDescent="0.2">
      <c r="A71">
        <v>10005</v>
      </c>
      <c r="B71">
        <v>54480</v>
      </c>
      <c r="C71">
        <v>-94</v>
      </c>
      <c r="D71">
        <v>1.1399999999999999</v>
      </c>
      <c r="E71" t="s">
        <v>6</v>
      </c>
      <c r="F71" t="s">
        <v>105</v>
      </c>
    </row>
    <row r="72" spans="1:6" x14ac:dyDescent="0.2">
      <c r="A72">
        <v>10006</v>
      </c>
      <c r="B72">
        <v>54480</v>
      </c>
      <c r="C72">
        <v>0</v>
      </c>
      <c r="D72">
        <v>-1</v>
      </c>
      <c r="F72" t="s">
        <v>104</v>
      </c>
    </row>
    <row r="73" spans="1:6" x14ac:dyDescent="0.2">
      <c r="A73">
        <v>10004</v>
      </c>
      <c r="B73">
        <v>54480</v>
      </c>
      <c r="C73">
        <v>-49</v>
      </c>
      <c r="D73">
        <v>0.01</v>
      </c>
      <c r="E73" t="s">
        <v>8</v>
      </c>
      <c r="F73" t="s">
        <v>104</v>
      </c>
    </row>
    <row r="74" spans="1:6" x14ac:dyDescent="0.2">
      <c r="A74">
        <v>10005</v>
      </c>
      <c r="B74">
        <v>54480</v>
      </c>
      <c r="C74">
        <v>-88</v>
      </c>
      <c r="D74">
        <v>1.1599999999999999</v>
      </c>
      <c r="E74" t="s">
        <v>6</v>
      </c>
      <c r="F74" t="s">
        <v>104</v>
      </c>
    </row>
    <row r="75" spans="1:6" x14ac:dyDescent="0.2">
      <c r="A75">
        <v>10006</v>
      </c>
      <c r="B75">
        <v>54480</v>
      </c>
      <c r="C75">
        <v>0</v>
      </c>
      <c r="D75">
        <v>-1</v>
      </c>
      <c r="F75" t="s">
        <v>103</v>
      </c>
    </row>
    <row r="76" spans="1:6" x14ac:dyDescent="0.2">
      <c r="A76">
        <v>10004</v>
      </c>
      <c r="B76">
        <v>54480</v>
      </c>
      <c r="C76">
        <v>-49</v>
      </c>
      <c r="D76">
        <v>0.01</v>
      </c>
      <c r="E76" t="s">
        <v>8</v>
      </c>
      <c r="F76" t="s">
        <v>103</v>
      </c>
    </row>
    <row r="77" spans="1:6" x14ac:dyDescent="0.2">
      <c r="A77">
        <v>10005</v>
      </c>
      <c r="B77">
        <v>54480</v>
      </c>
      <c r="C77">
        <v>-86</v>
      </c>
      <c r="D77">
        <v>1.1399999999999999</v>
      </c>
      <c r="E77" t="s">
        <v>6</v>
      </c>
      <c r="F77" t="s">
        <v>103</v>
      </c>
    </row>
    <row r="78" spans="1:6" x14ac:dyDescent="0.2">
      <c r="A78">
        <v>10005</v>
      </c>
      <c r="B78">
        <v>54480</v>
      </c>
      <c r="C78">
        <v>0</v>
      </c>
      <c r="D78">
        <v>-1</v>
      </c>
      <c r="F78" t="s">
        <v>102</v>
      </c>
    </row>
    <row r="79" spans="1:6" x14ac:dyDescent="0.2">
      <c r="A79">
        <v>10006</v>
      </c>
      <c r="B79">
        <v>54480</v>
      </c>
      <c r="C79">
        <v>0</v>
      </c>
      <c r="D79">
        <v>-1</v>
      </c>
      <c r="F79" t="s">
        <v>102</v>
      </c>
    </row>
    <row r="80" spans="1:6" x14ac:dyDescent="0.2">
      <c r="A80">
        <v>10004</v>
      </c>
      <c r="B80">
        <v>54480</v>
      </c>
      <c r="C80">
        <v>-49</v>
      </c>
      <c r="D80">
        <v>0.01</v>
      </c>
      <c r="E80" t="s">
        <v>8</v>
      </c>
      <c r="F80" t="s">
        <v>102</v>
      </c>
    </row>
    <row r="81" spans="1:6" x14ac:dyDescent="0.2">
      <c r="A81">
        <v>10005</v>
      </c>
      <c r="B81">
        <v>54480</v>
      </c>
      <c r="C81">
        <v>0</v>
      </c>
      <c r="D81">
        <v>-1</v>
      </c>
      <c r="F81" t="s">
        <v>101</v>
      </c>
    </row>
    <row r="82" spans="1:6" x14ac:dyDescent="0.2">
      <c r="A82">
        <v>10006</v>
      </c>
      <c r="B82">
        <v>54480</v>
      </c>
      <c r="C82">
        <v>0</v>
      </c>
      <c r="D82">
        <v>-1</v>
      </c>
      <c r="F82" t="s">
        <v>101</v>
      </c>
    </row>
    <row r="83" spans="1:6" x14ac:dyDescent="0.2">
      <c r="A83">
        <v>10004</v>
      </c>
      <c r="B83">
        <v>54480</v>
      </c>
      <c r="C83">
        <v>-49</v>
      </c>
      <c r="D83">
        <v>0.01</v>
      </c>
      <c r="E83" t="s">
        <v>8</v>
      </c>
      <c r="F83" t="s">
        <v>101</v>
      </c>
    </row>
    <row r="84" spans="1:6" x14ac:dyDescent="0.2">
      <c r="A84">
        <v>10005</v>
      </c>
      <c r="B84">
        <v>54480</v>
      </c>
      <c r="C84">
        <v>0</v>
      </c>
      <c r="D84">
        <v>-1</v>
      </c>
      <c r="F84" t="s">
        <v>100</v>
      </c>
    </row>
    <row r="85" spans="1:6" x14ac:dyDescent="0.2">
      <c r="A85">
        <v>10004</v>
      </c>
      <c r="B85">
        <v>54480</v>
      </c>
      <c r="C85">
        <v>-49</v>
      </c>
      <c r="D85">
        <v>0.01</v>
      </c>
      <c r="E85" t="s">
        <v>8</v>
      </c>
      <c r="F85" t="s">
        <v>100</v>
      </c>
    </row>
    <row r="86" spans="1:6" x14ac:dyDescent="0.2">
      <c r="A86">
        <v>10006</v>
      </c>
      <c r="B86">
        <v>54480</v>
      </c>
      <c r="C86">
        <v>-94</v>
      </c>
      <c r="D86">
        <v>3.28</v>
      </c>
      <c r="E86" t="s">
        <v>72</v>
      </c>
      <c r="F86" t="s">
        <v>100</v>
      </c>
    </row>
    <row r="87" spans="1:6" x14ac:dyDescent="0.2">
      <c r="A87">
        <v>10004</v>
      </c>
      <c r="B87">
        <v>54480</v>
      </c>
      <c r="C87">
        <v>-49</v>
      </c>
      <c r="D87">
        <v>0.01</v>
      </c>
      <c r="E87" t="s">
        <v>8</v>
      </c>
      <c r="F87" t="s">
        <v>99</v>
      </c>
    </row>
    <row r="88" spans="1:6" x14ac:dyDescent="0.2">
      <c r="A88">
        <v>10005</v>
      </c>
      <c r="B88">
        <v>54480</v>
      </c>
      <c r="C88">
        <v>-86</v>
      </c>
      <c r="D88">
        <v>1.1100000000000001</v>
      </c>
      <c r="E88" t="s">
        <v>6</v>
      </c>
      <c r="F88" t="s">
        <v>99</v>
      </c>
    </row>
    <row r="89" spans="1:6" x14ac:dyDescent="0.2">
      <c r="A89">
        <v>10006</v>
      </c>
      <c r="B89">
        <v>54480</v>
      </c>
      <c r="C89">
        <v>-94</v>
      </c>
      <c r="D89">
        <v>3.05</v>
      </c>
      <c r="E89" t="s">
        <v>72</v>
      </c>
      <c r="F89" t="s">
        <v>99</v>
      </c>
    </row>
    <row r="90" spans="1:6" x14ac:dyDescent="0.2">
      <c r="A90">
        <v>10006</v>
      </c>
      <c r="B90">
        <v>54480</v>
      </c>
      <c r="C90">
        <v>0</v>
      </c>
      <c r="D90">
        <v>-1</v>
      </c>
      <c r="F90" t="s">
        <v>98</v>
      </c>
    </row>
    <row r="91" spans="1:6" x14ac:dyDescent="0.2">
      <c r="A91">
        <v>10004</v>
      </c>
      <c r="B91">
        <v>54480</v>
      </c>
      <c r="C91">
        <v>-49</v>
      </c>
      <c r="D91">
        <v>0.01</v>
      </c>
      <c r="E91" t="s">
        <v>8</v>
      </c>
      <c r="F91" t="s">
        <v>98</v>
      </c>
    </row>
    <row r="92" spans="1:6" x14ac:dyDescent="0.2">
      <c r="A92">
        <v>10005</v>
      </c>
      <c r="B92">
        <v>54480</v>
      </c>
      <c r="C92">
        <v>-93</v>
      </c>
      <c r="D92">
        <v>1.32</v>
      </c>
      <c r="E92" t="s">
        <v>6</v>
      </c>
      <c r="F92" t="s">
        <v>98</v>
      </c>
    </row>
    <row r="93" spans="1:6" x14ac:dyDescent="0.2">
      <c r="A93">
        <v>10006</v>
      </c>
      <c r="B93">
        <v>54480</v>
      </c>
      <c r="C93">
        <v>0</v>
      </c>
      <c r="D93">
        <v>-1</v>
      </c>
      <c r="F93" t="s">
        <v>97</v>
      </c>
    </row>
    <row r="94" spans="1:6" x14ac:dyDescent="0.2">
      <c r="A94">
        <v>10004</v>
      </c>
      <c r="B94">
        <v>54480</v>
      </c>
      <c r="C94">
        <v>-49</v>
      </c>
      <c r="D94">
        <v>0.01</v>
      </c>
      <c r="E94" t="s">
        <v>8</v>
      </c>
      <c r="F94" t="s">
        <v>97</v>
      </c>
    </row>
    <row r="95" spans="1:6" x14ac:dyDescent="0.2">
      <c r="A95">
        <v>10005</v>
      </c>
      <c r="B95">
        <v>54480</v>
      </c>
      <c r="C95">
        <v>-85</v>
      </c>
      <c r="D95">
        <v>1.18</v>
      </c>
      <c r="E95" t="s">
        <v>6</v>
      </c>
      <c r="F95" t="s">
        <v>97</v>
      </c>
    </row>
    <row r="96" spans="1:6" x14ac:dyDescent="0.2">
      <c r="A96">
        <v>10005</v>
      </c>
      <c r="B96">
        <v>54480</v>
      </c>
      <c r="C96">
        <v>0</v>
      </c>
      <c r="D96">
        <v>-1</v>
      </c>
      <c r="F96" t="s">
        <v>96</v>
      </c>
    </row>
    <row r="97" spans="1:6" x14ac:dyDescent="0.2">
      <c r="A97">
        <v>10006</v>
      </c>
      <c r="B97">
        <v>54480</v>
      </c>
      <c r="C97">
        <v>0</v>
      </c>
      <c r="D97">
        <v>-1</v>
      </c>
      <c r="F97" t="s">
        <v>96</v>
      </c>
    </row>
    <row r="98" spans="1:6" x14ac:dyDescent="0.2">
      <c r="A98">
        <v>10004</v>
      </c>
      <c r="B98">
        <v>54480</v>
      </c>
      <c r="C98">
        <v>-48</v>
      </c>
      <c r="D98">
        <v>0.01</v>
      </c>
      <c r="E98" t="s">
        <v>8</v>
      </c>
      <c r="F98" t="s">
        <v>96</v>
      </c>
    </row>
    <row r="99" spans="1:6" x14ac:dyDescent="0.2">
      <c r="A99">
        <v>10006</v>
      </c>
      <c r="B99">
        <v>54480</v>
      </c>
      <c r="C99">
        <v>0</v>
      </c>
      <c r="D99">
        <v>-1</v>
      </c>
      <c r="F99" t="s">
        <v>95</v>
      </c>
    </row>
    <row r="100" spans="1:6" x14ac:dyDescent="0.2">
      <c r="A100">
        <v>10004</v>
      </c>
      <c r="B100">
        <v>54480</v>
      </c>
      <c r="C100">
        <v>-49</v>
      </c>
      <c r="D100">
        <v>0.01</v>
      </c>
      <c r="E100" t="s">
        <v>8</v>
      </c>
      <c r="F100" t="s">
        <v>95</v>
      </c>
    </row>
    <row r="101" spans="1:6" x14ac:dyDescent="0.2">
      <c r="A101">
        <v>10005</v>
      </c>
      <c r="B101">
        <v>54480</v>
      </c>
      <c r="C101">
        <v>-87</v>
      </c>
      <c r="D101">
        <v>1.17</v>
      </c>
      <c r="E101" t="s">
        <v>6</v>
      </c>
      <c r="F101" t="s">
        <v>95</v>
      </c>
    </row>
    <row r="102" spans="1:6" x14ac:dyDescent="0.2">
      <c r="A102">
        <v>10006</v>
      </c>
      <c r="B102">
        <v>54480</v>
      </c>
      <c r="C102">
        <v>0</v>
      </c>
      <c r="D102">
        <v>-1</v>
      </c>
      <c r="F102" t="s">
        <v>94</v>
      </c>
    </row>
    <row r="103" spans="1:6" x14ac:dyDescent="0.2">
      <c r="A103">
        <v>10004</v>
      </c>
      <c r="B103">
        <v>54480</v>
      </c>
      <c r="C103">
        <v>-49</v>
      </c>
      <c r="D103">
        <v>0.01</v>
      </c>
      <c r="E103" t="s">
        <v>8</v>
      </c>
      <c r="F103" t="s">
        <v>94</v>
      </c>
    </row>
    <row r="104" spans="1:6" x14ac:dyDescent="0.2">
      <c r="A104">
        <v>10005</v>
      </c>
      <c r="B104">
        <v>54480</v>
      </c>
      <c r="C104">
        <v>-93</v>
      </c>
      <c r="D104">
        <v>1.31</v>
      </c>
      <c r="E104" t="s">
        <v>6</v>
      </c>
      <c r="F104" t="s">
        <v>94</v>
      </c>
    </row>
    <row r="105" spans="1:6" x14ac:dyDescent="0.2">
      <c r="A105">
        <v>10006</v>
      </c>
      <c r="B105">
        <v>54480</v>
      </c>
      <c r="C105">
        <v>0</v>
      </c>
      <c r="D105">
        <v>-1</v>
      </c>
      <c r="F105" t="s">
        <v>93</v>
      </c>
    </row>
    <row r="106" spans="1:6" x14ac:dyDescent="0.2">
      <c r="A106">
        <v>10004</v>
      </c>
      <c r="B106">
        <v>54480</v>
      </c>
      <c r="C106">
        <v>-49</v>
      </c>
      <c r="D106">
        <v>0.01</v>
      </c>
      <c r="E106" t="s">
        <v>8</v>
      </c>
      <c r="F106" t="s">
        <v>93</v>
      </c>
    </row>
    <row r="107" spans="1:6" x14ac:dyDescent="0.2">
      <c r="A107">
        <v>10005</v>
      </c>
      <c r="B107">
        <v>54480</v>
      </c>
      <c r="C107">
        <v>-85</v>
      </c>
      <c r="D107">
        <v>1.21</v>
      </c>
      <c r="E107" t="s">
        <v>6</v>
      </c>
      <c r="F107" t="s">
        <v>93</v>
      </c>
    </row>
    <row r="108" spans="1:6" x14ac:dyDescent="0.2">
      <c r="A108">
        <v>10005</v>
      </c>
      <c r="B108">
        <v>54480</v>
      </c>
      <c r="C108">
        <v>0</v>
      </c>
      <c r="D108">
        <v>-1</v>
      </c>
      <c r="F108" t="s">
        <v>92</v>
      </c>
    </row>
    <row r="109" spans="1:6" x14ac:dyDescent="0.2">
      <c r="A109">
        <v>10006</v>
      </c>
      <c r="B109">
        <v>54480</v>
      </c>
      <c r="C109">
        <v>0</v>
      </c>
      <c r="D109">
        <v>-1</v>
      </c>
      <c r="F109" t="s">
        <v>92</v>
      </c>
    </row>
    <row r="110" spans="1:6" x14ac:dyDescent="0.2">
      <c r="A110">
        <v>10004</v>
      </c>
      <c r="B110">
        <v>54480</v>
      </c>
      <c r="C110">
        <v>-49</v>
      </c>
      <c r="D110">
        <v>0.01</v>
      </c>
      <c r="E110" t="s">
        <v>8</v>
      </c>
      <c r="F110" t="s">
        <v>92</v>
      </c>
    </row>
    <row r="111" spans="1:6" x14ac:dyDescent="0.2">
      <c r="A111">
        <v>10006</v>
      </c>
      <c r="B111">
        <v>54480</v>
      </c>
      <c r="C111">
        <v>0</v>
      </c>
      <c r="D111">
        <v>-1</v>
      </c>
      <c r="F111" t="s">
        <v>91</v>
      </c>
    </row>
    <row r="112" spans="1:6" x14ac:dyDescent="0.2">
      <c r="A112">
        <v>10004</v>
      </c>
      <c r="B112">
        <v>54480</v>
      </c>
      <c r="C112">
        <v>-48</v>
      </c>
      <c r="D112">
        <v>0.01</v>
      </c>
      <c r="E112" t="s">
        <v>8</v>
      </c>
      <c r="F112" t="s">
        <v>91</v>
      </c>
    </row>
    <row r="113" spans="1:6" x14ac:dyDescent="0.2">
      <c r="A113">
        <v>10005</v>
      </c>
      <c r="B113">
        <v>54480</v>
      </c>
      <c r="C113">
        <v>-85</v>
      </c>
      <c r="D113">
        <v>1.1399999999999999</v>
      </c>
      <c r="E113" t="s">
        <v>6</v>
      </c>
      <c r="F113" t="s">
        <v>91</v>
      </c>
    </row>
    <row r="114" spans="1:6" x14ac:dyDescent="0.2">
      <c r="A114">
        <v>10004</v>
      </c>
      <c r="B114">
        <v>54480</v>
      </c>
      <c r="C114">
        <v>-49</v>
      </c>
      <c r="D114">
        <v>0.01</v>
      </c>
      <c r="E114" t="s">
        <v>8</v>
      </c>
      <c r="F114" t="s">
        <v>90</v>
      </c>
    </row>
    <row r="115" spans="1:6" x14ac:dyDescent="0.2">
      <c r="A115">
        <v>10005</v>
      </c>
      <c r="B115">
        <v>54480</v>
      </c>
      <c r="C115">
        <v>-85</v>
      </c>
      <c r="D115">
        <v>1.08</v>
      </c>
      <c r="E115" t="s">
        <v>6</v>
      </c>
      <c r="F115" t="s">
        <v>90</v>
      </c>
    </row>
    <row r="116" spans="1:6" x14ac:dyDescent="0.2">
      <c r="A116">
        <v>10005</v>
      </c>
      <c r="B116">
        <v>54480</v>
      </c>
      <c r="C116">
        <v>0</v>
      </c>
      <c r="D116">
        <v>-1</v>
      </c>
      <c r="F116" t="s">
        <v>89</v>
      </c>
    </row>
    <row r="117" spans="1:6" x14ac:dyDescent="0.2">
      <c r="A117">
        <v>10004</v>
      </c>
      <c r="B117">
        <v>54480</v>
      </c>
      <c r="C117">
        <v>-49</v>
      </c>
      <c r="D117">
        <v>0.01</v>
      </c>
      <c r="E117" t="s">
        <v>8</v>
      </c>
      <c r="F117" t="s">
        <v>89</v>
      </c>
    </row>
    <row r="118" spans="1:6" x14ac:dyDescent="0.2">
      <c r="A118">
        <v>10004</v>
      </c>
      <c r="B118">
        <v>54480</v>
      </c>
      <c r="C118">
        <v>-49</v>
      </c>
      <c r="D118">
        <v>0.01</v>
      </c>
      <c r="E118" t="s">
        <v>8</v>
      </c>
      <c r="F118" t="s">
        <v>88</v>
      </c>
    </row>
    <row r="119" spans="1:6" x14ac:dyDescent="0.2">
      <c r="A119">
        <v>10005</v>
      </c>
      <c r="B119">
        <v>54480</v>
      </c>
      <c r="C119">
        <v>-93</v>
      </c>
      <c r="D119">
        <v>1.19</v>
      </c>
      <c r="E119" t="s">
        <v>6</v>
      </c>
      <c r="F119" t="s">
        <v>88</v>
      </c>
    </row>
    <row r="120" spans="1:6" x14ac:dyDescent="0.2">
      <c r="A120">
        <v>10004</v>
      </c>
      <c r="B120">
        <v>54480</v>
      </c>
      <c r="C120">
        <v>-49</v>
      </c>
      <c r="D120">
        <v>0.01</v>
      </c>
      <c r="E120" t="s">
        <v>8</v>
      </c>
      <c r="F120" t="s">
        <v>87</v>
      </c>
    </row>
    <row r="121" spans="1:6" x14ac:dyDescent="0.2">
      <c r="A121">
        <v>10005</v>
      </c>
      <c r="B121">
        <v>54480</v>
      </c>
      <c r="C121">
        <v>-86</v>
      </c>
      <c r="D121">
        <v>1.1499999999999999</v>
      </c>
      <c r="E121" t="s">
        <v>6</v>
      </c>
      <c r="F121" t="s">
        <v>87</v>
      </c>
    </row>
    <row r="122" spans="1:6" x14ac:dyDescent="0.2">
      <c r="A122">
        <v>10004</v>
      </c>
      <c r="B122">
        <v>54480</v>
      </c>
      <c r="C122">
        <v>-49</v>
      </c>
      <c r="D122">
        <v>0.01</v>
      </c>
      <c r="E122" t="s">
        <v>8</v>
      </c>
      <c r="F122" t="s">
        <v>86</v>
      </c>
    </row>
    <row r="123" spans="1:6" x14ac:dyDescent="0.2">
      <c r="A123">
        <v>10005</v>
      </c>
      <c r="B123">
        <v>54480</v>
      </c>
      <c r="C123">
        <v>-85</v>
      </c>
      <c r="D123">
        <v>1.0900000000000001</v>
      </c>
      <c r="E123" t="s">
        <v>6</v>
      </c>
      <c r="F123" t="s">
        <v>86</v>
      </c>
    </row>
    <row r="124" spans="1:6" x14ac:dyDescent="0.2">
      <c r="A124">
        <v>10004</v>
      </c>
      <c r="B124">
        <v>54480</v>
      </c>
      <c r="C124">
        <v>-49</v>
      </c>
      <c r="D124">
        <v>0.01</v>
      </c>
      <c r="E124" t="s">
        <v>8</v>
      </c>
      <c r="F124" t="s">
        <v>85</v>
      </c>
    </row>
    <row r="125" spans="1:6" x14ac:dyDescent="0.2">
      <c r="A125">
        <v>10005</v>
      </c>
      <c r="B125">
        <v>54480</v>
      </c>
      <c r="C125">
        <v>-87</v>
      </c>
      <c r="D125">
        <v>1.1000000000000001</v>
      </c>
      <c r="E125" t="s">
        <v>6</v>
      </c>
      <c r="F125" t="s">
        <v>85</v>
      </c>
    </row>
    <row r="126" spans="1:6" x14ac:dyDescent="0.2">
      <c r="A126">
        <v>10004</v>
      </c>
      <c r="B126">
        <v>54480</v>
      </c>
      <c r="C126">
        <v>-49</v>
      </c>
      <c r="D126">
        <v>0.01</v>
      </c>
      <c r="E126" t="s">
        <v>8</v>
      </c>
      <c r="F126" t="s">
        <v>84</v>
      </c>
    </row>
    <row r="127" spans="1:6" x14ac:dyDescent="0.2">
      <c r="A127">
        <v>10005</v>
      </c>
      <c r="B127">
        <v>54480</v>
      </c>
      <c r="C127">
        <v>-93</v>
      </c>
      <c r="D127">
        <v>1.2</v>
      </c>
      <c r="E127" t="s">
        <v>6</v>
      </c>
      <c r="F127" t="s">
        <v>84</v>
      </c>
    </row>
    <row r="128" spans="1:6" x14ac:dyDescent="0.2">
      <c r="A128">
        <v>10004</v>
      </c>
      <c r="B128">
        <v>54480</v>
      </c>
      <c r="C128">
        <v>-49</v>
      </c>
      <c r="D128">
        <v>0.01</v>
      </c>
      <c r="E128" t="s">
        <v>8</v>
      </c>
      <c r="F128" t="s">
        <v>83</v>
      </c>
    </row>
    <row r="129" spans="1:6" x14ac:dyDescent="0.2">
      <c r="A129">
        <v>10005</v>
      </c>
      <c r="B129">
        <v>54480</v>
      </c>
      <c r="C129">
        <v>-86</v>
      </c>
      <c r="D129">
        <v>1.17</v>
      </c>
      <c r="E129" t="s">
        <v>6</v>
      </c>
      <c r="F129" t="s">
        <v>83</v>
      </c>
    </row>
    <row r="130" spans="1:6" x14ac:dyDescent="0.2">
      <c r="A130">
        <v>10006</v>
      </c>
      <c r="B130">
        <v>54480</v>
      </c>
      <c r="C130">
        <v>-91</v>
      </c>
      <c r="D130">
        <v>1.9</v>
      </c>
      <c r="E130" t="s">
        <v>6</v>
      </c>
      <c r="F130" t="s">
        <v>83</v>
      </c>
    </row>
    <row r="131" spans="1:6" x14ac:dyDescent="0.2">
      <c r="A131">
        <v>10006</v>
      </c>
      <c r="B131">
        <v>54480</v>
      </c>
      <c r="C131">
        <v>0</v>
      </c>
      <c r="D131">
        <v>-1</v>
      </c>
      <c r="F131" t="s">
        <v>82</v>
      </c>
    </row>
    <row r="132" spans="1:6" x14ac:dyDescent="0.2">
      <c r="A132">
        <v>10004</v>
      </c>
      <c r="B132">
        <v>54480</v>
      </c>
      <c r="C132">
        <v>-49</v>
      </c>
      <c r="D132">
        <v>0.01</v>
      </c>
      <c r="E132" t="s">
        <v>8</v>
      </c>
      <c r="F132" t="s">
        <v>82</v>
      </c>
    </row>
    <row r="133" spans="1:6" x14ac:dyDescent="0.2">
      <c r="A133">
        <v>10005</v>
      </c>
      <c r="B133">
        <v>54480</v>
      </c>
      <c r="C133">
        <v>-86</v>
      </c>
      <c r="D133">
        <v>1.1399999999999999</v>
      </c>
      <c r="E133" t="s">
        <v>6</v>
      </c>
      <c r="F133" t="s">
        <v>82</v>
      </c>
    </row>
    <row r="134" spans="1:6" x14ac:dyDescent="0.2">
      <c r="A134">
        <v>10006</v>
      </c>
      <c r="B134">
        <v>54480</v>
      </c>
      <c r="C134">
        <v>0</v>
      </c>
      <c r="D134">
        <v>-1</v>
      </c>
      <c r="F134" t="s">
        <v>81</v>
      </c>
    </row>
    <row r="135" spans="1:6" x14ac:dyDescent="0.2">
      <c r="A135">
        <v>10004</v>
      </c>
      <c r="B135">
        <v>54480</v>
      </c>
      <c r="C135">
        <v>-49</v>
      </c>
      <c r="D135">
        <v>0.01</v>
      </c>
      <c r="E135" t="s">
        <v>8</v>
      </c>
      <c r="F135" t="s">
        <v>81</v>
      </c>
    </row>
    <row r="136" spans="1:6" x14ac:dyDescent="0.2">
      <c r="A136">
        <v>10005</v>
      </c>
      <c r="B136">
        <v>54480</v>
      </c>
      <c r="C136">
        <v>-88</v>
      </c>
      <c r="D136">
        <v>1.1599999999999999</v>
      </c>
      <c r="E136" t="s">
        <v>6</v>
      </c>
      <c r="F136" t="s">
        <v>81</v>
      </c>
    </row>
    <row r="137" spans="1:6" x14ac:dyDescent="0.2">
      <c r="A137">
        <v>10006</v>
      </c>
      <c r="B137">
        <v>54480</v>
      </c>
      <c r="C137">
        <v>0</v>
      </c>
      <c r="D137">
        <v>-1</v>
      </c>
      <c r="F137" t="s">
        <v>80</v>
      </c>
    </row>
    <row r="138" spans="1:6" x14ac:dyDescent="0.2">
      <c r="A138">
        <v>10004</v>
      </c>
      <c r="B138">
        <v>54480</v>
      </c>
      <c r="C138">
        <v>-49</v>
      </c>
      <c r="D138">
        <v>0.01</v>
      </c>
      <c r="E138" t="s">
        <v>8</v>
      </c>
      <c r="F138" t="s">
        <v>80</v>
      </c>
    </row>
    <row r="139" spans="1:6" x14ac:dyDescent="0.2">
      <c r="A139">
        <v>10005</v>
      </c>
      <c r="B139">
        <v>54480</v>
      </c>
      <c r="C139">
        <v>-87</v>
      </c>
      <c r="D139">
        <v>1.1599999999999999</v>
      </c>
      <c r="E139" t="s">
        <v>6</v>
      </c>
      <c r="F139" t="s">
        <v>80</v>
      </c>
    </row>
    <row r="140" spans="1:6" x14ac:dyDescent="0.2">
      <c r="A140">
        <v>10006</v>
      </c>
      <c r="B140">
        <v>54480</v>
      </c>
      <c r="C140">
        <v>0</v>
      </c>
      <c r="D140">
        <v>-1</v>
      </c>
      <c r="F140" t="s">
        <v>79</v>
      </c>
    </row>
    <row r="141" spans="1:6" x14ac:dyDescent="0.2">
      <c r="A141">
        <v>10004</v>
      </c>
      <c r="B141">
        <v>54480</v>
      </c>
      <c r="C141">
        <v>-49</v>
      </c>
      <c r="D141">
        <v>0.01</v>
      </c>
      <c r="E141" t="s">
        <v>8</v>
      </c>
      <c r="F141" t="s">
        <v>79</v>
      </c>
    </row>
    <row r="142" spans="1:6" x14ac:dyDescent="0.2">
      <c r="A142">
        <v>10005</v>
      </c>
      <c r="B142">
        <v>54480</v>
      </c>
      <c r="C142">
        <v>-93</v>
      </c>
      <c r="D142">
        <v>1.24</v>
      </c>
      <c r="E142" t="s">
        <v>6</v>
      </c>
      <c r="F142" t="s">
        <v>79</v>
      </c>
    </row>
    <row r="143" spans="1:6" x14ac:dyDescent="0.2">
      <c r="A143">
        <v>10005</v>
      </c>
      <c r="B143">
        <v>54480</v>
      </c>
      <c r="C143">
        <v>0</v>
      </c>
      <c r="D143">
        <v>-1</v>
      </c>
      <c r="F143" t="s">
        <v>78</v>
      </c>
    </row>
    <row r="144" spans="1:6" x14ac:dyDescent="0.2">
      <c r="A144">
        <v>10006</v>
      </c>
      <c r="B144">
        <v>54480</v>
      </c>
      <c r="C144">
        <v>0</v>
      </c>
      <c r="D144">
        <v>-1</v>
      </c>
      <c r="F144" t="s">
        <v>78</v>
      </c>
    </row>
    <row r="145" spans="1:6" x14ac:dyDescent="0.2">
      <c r="A145">
        <v>10004</v>
      </c>
      <c r="B145">
        <v>54480</v>
      </c>
      <c r="C145">
        <v>-49</v>
      </c>
      <c r="D145">
        <v>0.01</v>
      </c>
      <c r="E145" t="s">
        <v>8</v>
      </c>
      <c r="F145" t="s">
        <v>78</v>
      </c>
    </row>
    <row r="146" spans="1:6" x14ac:dyDescent="0.2">
      <c r="A146">
        <v>10004</v>
      </c>
      <c r="B146">
        <v>54480</v>
      </c>
      <c r="C146">
        <v>-49</v>
      </c>
      <c r="D146">
        <v>0.01</v>
      </c>
      <c r="E146" t="s">
        <v>8</v>
      </c>
      <c r="F146" t="s">
        <v>77</v>
      </c>
    </row>
    <row r="147" spans="1:6" x14ac:dyDescent="0.2">
      <c r="A147">
        <v>10005</v>
      </c>
      <c r="B147">
        <v>54480</v>
      </c>
      <c r="C147">
        <v>-91</v>
      </c>
      <c r="D147">
        <v>1.29</v>
      </c>
      <c r="E147" t="s">
        <v>6</v>
      </c>
      <c r="F147" t="s">
        <v>77</v>
      </c>
    </row>
    <row r="148" spans="1:6" x14ac:dyDescent="0.2">
      <c r="A148">
        <v>10006</v>
      </c>
      <c r="B148">
        <v>54480</v>
      </c>
      <c r="C148">
        <v>-97</v>
      </c>
      <c r="D148">
        <v>3.45</v>
      </c>
      <c r="E148" t="s">
        <v>6</v>
      </c>
      <c r="F148" t="s">
        <v>77</v>
      </c>
    </row>
    <row r="149" spans="1:6" x14ac:dyDescent="0.2">
      <c r="A149">
        <v>10004</v>
      </c>
      <c r="B149">
        <v>54480</v>
      </c>
      <c r="C149">
        <v>-49</v>
      </c>
      <c r="D149">
        <v>0.01</v>
      </c>
      <c r="E149" t="s">
        <v>8</v>
      </c>
      <c r="F149" t="s">
        <v>76</v>
      </c>
    </row>
    <row r="150" spans="1:6" x14ac:dyDescent="0.2">
      <c r="A150">
        <v>10005</v>
      </c>
      <c r="B150">
        <v>54480</v>
      </c>
      <c r="C150">
        <v>-86</v>
      </c>
      <c r="D150">
        <v>1.24</v>
      </c>
      <c r="E150" t="s">
        <v>6</v>
      </c>
      <c r="F150" t="s">
        <v>76</v>
      </c>
    </row>
    <row r="151" spans="1:6" x14ac:dyDescent="0.2">
      <c r="A151">
        <v>10006</v>
      </c>
      <c r="B151">
        <v>54480</v>
      </c>
      <c r="C151">
        <v>-97</v>
      </c>
      <c r="D151">
        <v>3.78</v>
      </c>
      <c r="E151" t="s">
        <v>6</v>
      </c>
      <c r="F151" t="s">
        <v>76</v>
      </c>
    </row>
    <row r="152" spans="1:6" x14ac:dyDescent="0.2">
      <c r="A152">
        <v>10004</v>
      </c>
      <c r="B152">
        <v>54480</v>
      </c>
      <c r="C152">
        <v>0</v>
      </c>
      <c r="D152">
        <v>-1</v>
      </c>
      <c r="F152" t="s">
        <v>75</v>
      </c>
    </row>
    <row r="153" spans="1:6" x14ac:dyDescent="0.2">
      <c r="A153">
        <v>10005</v>
      </c>
      <c r="B153">
        <v>54480</v>
      </c>
      <c r="C153">
        <v>0</v>
      </c>
      <c r="D153">
        <v>-1</v>
      </c>
      <c r="F153" t="s">
        <v>75</v>
      </c>
    </row>
    <row r="154" spans="1:6" x14ac:dyDescent="0.2">
      <c r="A154">
        <v>10006</v>
      </c>
      <c r="B154">
        <v>54480</v>
      </c>
      <c r="C154">
        <v>0</v>
      </c>
      <c r="D154">
        <v>-1</v>
      </c>
      <c r="F154" t="s">
        <v>75</v>
      </c>
    </row>
    <row r="155" spans="1:6" x14ac:dyDescent="0.2">
      <c r="A155">
        <v>10006</v>
      </c>
      <c r="B155">
        <v>54480</v>
      </c>
      <c r="C155">
        <v>0</v>
      </c>
      <c r="D155">
        <v>-1</v>
      </c>
      <c r="F155" t="s">
        <v>74</v>
      </c>
    </row>
    <row r="156" spans="1:6" x14ac:dyDescent="0.2">
      <c r="A156">
        <v>10004</v>
      </c>
      <c r="B156">
        <v>54480</v>
      </c>
      <c r="C156">
        <v>-49</v>
      </c>
      <c r="D156">
        <v>0.01</v>
      </c>
      <c r="E156" t="s">
        <v>8</v>
      </c>
      <c r="F156" t="s">
        <v>74</v>
      </c>
    </row>
    <row r="157" spans="1:6" x14ac:dyDescent="0.2">
      <c r="A157">
        <v>10005</v>
      </c>
      <c r="B157">
        <v>54480</v>
      </c>
      <c r="C157">
        <v>-85</v>
      </c>
      <c r="D157">
        <v>1.17</v>
      </c>
      <c r="E157" t="s">
        <v>6</v>
      </c>
      <c r="F157" t="s">
        <v>74</v>
      </c>
    </row>
    <row r="158" spans="1:6" x14ac:dyDescent="0.2">
      <c r="A158">
        <v>10005</v>
      </c>
      <c r="B158">
        <v>54480</v>
      </c>
      <c r="C158">
        <v>0</v>
      </c>
      <c r="D158">
        <v>-1</v>
      </c>
      <c r="F158" t="s">
        <v>73</v>
      </c>
    </row>
    <row r="159" spans="1:6" x14ac:dyDescent="0.2">
      <c r="A159">
        <v>10004</v>
      </c>
      <c r="B159">
        <v>54480</v>
      </c>
      <c r="C159">
        <v>-49</v>
      </c>
      <c r="D159">
        <v>0.01</v>
      </c>
      <c r="E159" t="s">
        <v>8</v>
      </c>
      <c r="F159" t="s">
        <v>73</v>
      </c>
    </row>
    <row r="160" spans="1:6" x14ac:dyDescent="0.2">
      <c r="A160">
        <v>10006</v>
      </c>
      <c r="B160">
        <v>54480</v>
      </c>
      <c r="C160">
        <v>-96</v>
      </c>
      <c r="D160">
        <v>3.71</v>
      </c>
      <c r="E160" t="s">
        <v>72</v>
      </c>
      <c r="F160" t="s">
        <v>73</v>
      </c>
    </row>
    <row r="161" spans="1:6" x14ac:dyDescent="0.2">
      <c r="A161">
        <v>10005</v>
      </c>
      <c r="B161">
        <v>54480</v>
      </c>
      <c r="C161">
        <v>0</v>
      </c>
      <c r="D161">
        <v>-1</v>
      </c>
      <c r="F161" t="s">
        <v>71</v>
      </c>
    </row>
    <row r="162" spans="1:6" x14ac:dyDescent="0.2">
      <c r="A162">
        <v>10004</v>
      </c>
      <c r="B162">
        <v>54480</v>
      </c>
      <c r="C162">
        <v>-49</v>
      </c>
      <c r="D162">
        <v>0.01</v>
      </c>
      <c r="E162" t="s">
        <v>8</v>
      </c>
      <c r="F162" t="s">
        <v>71</v>
      </c>
    </row>
    <row r="163" spans="1:6" x14ac:dyDescent="0.2">
      <c r="A163">
        <v>10006</v>
      </c>
      <c r="B163">
        <v>54480</v>
      </c>
      <c r="C163">
        <v>-94</v>
      </c>
      <c r="D163">
        <v>3.39</v>
      </c>
      <c r="E163" t="s">
        <v>72</v>
      </c>
      <c r="F163" t="s">
        <v>71</v>
      </c>
    </row>
    <row r="164" spans="1:6" x14ac:dyDescent="0.2">
      <c r="A164">
        <v>10004</v>
      </c>
      <c r="B164">
        <v>54480</v>
      </c>
      <c r="C164">
        <v>-49</v>
      </c>
      <c r="D164">
        <v>0.01</v>
      </c>
      <c r="E164" t="s">
        <v>8</v>
      </c>
      <c r="F164" t="s">
        <v>70</v>
      </c>
    </row>
    <row r="165" spans="1:6" x14ac:dyDescent="0.2">
      <c r="A165">
        <v>10005</v>
      </c>
      <c r="B165">
        <v>54480</v>
      </c>
      <c r="C165">
        <v>-87</v>
      </c>
      <c r="D165">
        <v>1.1599999999999999</v>
      </c>
      <c r="E165" t="s">
        <v>6</v>
      </c>
      <c r="F165" t="s">
        <v>70</v>
      </c>
    </row>
    <row r="166" spans="1:6" x14ac:dyDescent="0.2">
      <c r="A166">
        <v>10006</v>
      </c>
      <c r="B166">
        <v>54480</v>
      </c>
      <c r="C166">
        <v>-93</v>
      </c>
      <c r="D166">
        <v>3.12</v>
      </c>
      <c r="E166" t="s">
        <v>6</v>
      </c>
      <c r="F166" t="s">
        <v>70</v>
      </c>
    </row>
    <row r="167" spans="1:6" x14ac:dyDescent="0.2">
      <c r="A167">
        <v>10004</v>
      </c>
      <c r="B167">
        <v>54480</v>
      </c>
      <c r="C167">
        <v>-49</v>
      </c>
      <c r="D167">
        <v>0.01</v>
      </c>
      <c r="E167" t="s">
        <v>8</v>
      </c>
      <c r="F167" t="s">
        <v>69</v>
      </c>
    </row>
    <row r="168" spans="1:6" x14ac:dyDescent="0.2">
      <c r="A168">
        <v>10005</v>
      </c>
      <c r="B168">
        <v>54480</v>
      </c>
      <c r="C168">
        <v>-86</v>
      </c>
      <c r="D168">
        <v>1.1200000000000001</v>
      </c>
      <c r="E168" t="s">
        <v>6</v>
      </c>
      <c r="F168" t="s">
        <v>69</v>
      </c>
    </row>
    <row r="169" spans="1:6" x14ac:dyDescent="0.2">
      <c r="A169">
        <v>10006</v>
      </c>
      <c r="B169">
        <v>54480</v>
      </c>
      <c r="C169">
        <v>-94</v>
      </c>
      <c r="D169">
        <v>3.05</v>
      </c>
      <c r="E169" t="s">
        <v>6</v>
      </c>
      <c r="F169" t="s">
        <v>69</v>
      </c>
    </row>
    <row r="170" spans="1:6" x14ac:dyDescent="0.2">
      <c r="A170">
        <v>10004</v>
      </c>
      <c r="B170">
        <v>54480</v>
      </c>
      <c r="C170">
        <v>-49</v>
      </c>
      <c r="D170">
        <v>0.01</v>
      </c>
      <c r="E170" t="s">
        <v>8</v>
      </c>
      <c r="F170" t="s">
        <v>68</v>
      </c>
    </row>
    <row r="171" spans="1:6" x14ac:dyDescent="0.2">
      <c r="A171">
        <v>10005</v>
      </c>
      <c r="B171">
        <v>54480</v>
      </c>
      <c r="C171">
        <v>-87</v>
      </c>
      <c r="D171">
        <v>1.1200000000000001</v>
      </c>
      <c r="E171" t="s">
        <v>6</v>
      </c>
      <c r="F171" t="s">
        <v>68</v>
      </c>
    </row>
    <row r="172" spans="1:6" x14ac:dyDescent="0.2">
      <c r="A172">
        <v>10006</v>
      </c>
      <c r="B172">
        <v>54480</v>
      </c>
      <c r="C172">
        <v>-94</v>
      </c>
      <c r="D172">
        <v>3</v>
      </c>
      <c r="E172" t="s">
        <v>6</v>
      </c>
      <c r="F172" t="s">
        <v>68</v>
      </c>
    </row>
  </sheetData>
  <autoFilter ref="A1:F172" xr:uid="{00000000-0009-0000-0000-000000000000}"/>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179"/>
  <sheetViews>
    <sheetView topLeftCell="A13" workbookViewId="0">
      <selection activeCell="N1" sqref="N1"/>
    </sheetView>
  </sheetViews>
  <sheetFormatPr baseColWidth="10" defaultRowHeight="16" x14ac:dyDescent="0.2"/>
  <cols>
    <col min="1" max="2" width="6.1640625" bestFit="1" customWidth="1"/>
    <col min="3" max="3" width="4" bestFit="1" customWidth="1"/>
    <col min="4" max="4" width="8.1640625" bestFit="1" customWidth="1"/>
    <col min="5" max="5" width="10.1640625" bestFit="1" customWidth="1"/>
    <col min="6" max="6" width="17.83203125" bestFit="1" customWidth="1"/>
  </cols>
  <sheetData>
    <row r="1" spans="1:14" x14ac:dyDescent="0.2">
      <c r="A1" t="s">
        <v>0</v>
      </c>
      <c r="B1" t="s">
        <v>1</v>
      </c>
      <c r="C1" t="s">
        <v>2</v>
      </c>
      <c r="D1" t="s">
        <v>3</v>
      </c>
      <c r="E1" t="s">
        <v>4</v>
      </c>
      <c r="F1" t="s">
        <v>5</v>
      </c>
      <c r="J1" t="s">
        <v>189</v>
      </c>
      <c r="K1">
        <v>10004</v>
      </c>
      <c r="L1">
        <v>10005</v>
      </c>
      <c r="M1">
        <v>10006</v>
      </c>
      <c r="N1" t="s">
        <v>190</v>
      </c>
    </row>
    <row r="2" spans="1:14" x14ac:dyDescent="0.2">
      <c r="A2">
        <v>10006</v>
      </c>
      <c r="B2">
        <v>54480</v>
      </c>
      <c r="C2">
        <v>-83</v>
      </c>
      <c r="D2">
        <v>0.68</v>
      </c>
      <c r="E2" t="s">
        <v>6</v>
      </c>
      <c r="F2" t="s">
        <v>7</v>
      </c>
      <c r="K2" t="s">
        <v>2</v>
      </c>
      <c r="L2" t="s">
        <v>2</v>
      </c>
      <c r="M2" t="s">
        <v>2</v>
      </c>
    </row>
    <row r="3" spans="1:14" x14ac:dyDescent="0.2">
      <c r="A3">
        <v>10005</v>
      </c>
      <c r="B3">
        <v>54480</v>
      </c>
      <c r="C3">
        <v>-38</v>
      </c>
      <c r="D3">
        <v>0</v>
      </c>
      <c r="E3" t="s">
        <v>8</v>
      </c>
      <c r="F3" t="s">
        <v>9</v>
      </c>
      <c r="J3">
        <v>1</v>
      </c>
      <c r="K3">
        <v>-85</v>
      </c>
      <c r="M3">
        <v>-83</v>
      </c>
    </row>
    <row r="4" spans="1:14" x14ac:dyDescent="0.2">
      <c r="A4">
        <v>10006</v>
      </c>
      <c r="B4">
        <v>54480</v>
      </c>
      <c r="C4">
        <v>-79</v>
      </c>
      <c r="D4">
        <v>0.42</v>
      </c>
      <c r="E4" t="s">
        <v>6</v>
      </c>
      <c r="F4" t="s">
        <v>9</v>
      </c>
      <c r="J4">
        <v>2</v>
      </c>
      <c r="K4">
        <v>-97</v>
      </c>
      <c r="L4">
        <v>-38</v>
      </c>
      <c r="M4">
        <v>-79</v>
      </c>
      <c r="N4">
        <v>59</v>
      </c>
    </row>
    <row r="5" spans="1:14" x14ac:dyDescent="0.2">
      <c r="A5">
        <v>10004</v>
      </c>
      <c r="B5">
        <v>54480</v>
      </c>
      <c r="C5">
        <v>-85</v>
      </c>
      <c r="D5">
        <v>0.88</v>
      </c>
      <c r="E5" t="s">
        <v>6</v>
      </c>
      <c r="F5" t="s">
        <v>9</v>
      </c>
      <c r="J5">
        <v>3</v>
      </c>
      <c r="K5">
        <v>-88</v>
      </c>
      <c r="L5">
        <v>-37</v>
      </c>
      <c r="M5">
        <v>-87</v>
      </c>
      <c r="N5">
        <v>51</v>
      </c>
    </row>
    <row r="6" spans="1:14" x14ac:dyDescent="0.2">
      <c r="A6">
        <v>10005</v>
      </c>
      <c r="B6">
        <v>54480</v>
      </c>
      <c r="C6">
        <v>-37</v>
      </c>
      <c r="D6">
        <v>0</v>
      </c>
      <c r="E6" t="s">
        <v>8</v>
      </c>
      <c r="F6" t="s">
        <v>10</v>
      </c>
      <c r="J6">
        <v>4</v>
      </c>
      <c r="K6">
        <v>-89</v>
      </c>
      <c r="L6">
        <v>-37</v>
      </c>
      <c r="M6">
        <v>-86</v>
      </c>
      <c r="N6">
        <v>52</v>
      </c>
    </row>
    <row r="7" spans="1:14" x14ac:dyDescent="0.2">
      <c r="A7">
        <v>10006</v>
      </c>
      <c r="B7">
        <v>54480</v>
      </c>
      <c r="C7">
        <v>-87</v>
      </c>
      <c r="D7">
        <v>0.66</v>
      </c>
      <c r="E7" t="s">
        <v>6</v>
      </c>
      <c r="F7" t="s">
        <v>10</v>
      </c>
      <c r="J7">
        <v>5</v>
      </c>
      <c r="K7">
        <v>-90</v>
      </c>
      <c r="L7">
        <v>-37</v>
      </c>
      <c r="N7">
        <v>53</v>
      </c>
    </row>
    <row r="8" spans="1:14" x14ac:dyDescent="0.2">
      <c r="A8">
        <v>10004</v>
      </c>
      <c r="B8">
        <v>54480</v>
      </c>
      <c r="C8">
        <v>-97</v>
      </c>
      <c r="D8">
        <v>3.16</v>
      </c>
      <c r="E8" t="s">
        <v>6</v>
      </c>
      <c r="F8" t="s">
        <v>10</v>
      </c>
      <c r="J8">
        <v>6</v>
      </c>
      <c r="K8">
        <v>-92</v>
      </c>
      <c r="L8">
        <v>-37</v>
      </c>
      <c r="M8">
        <v>-87</v>
      </c>
      <c r="N8">
        <v>55</v>
      </c>
    </row>
    <row r="9" spans="1:14" x14ac:dyDescent="0.2">
      <c r="A9">
        <v>10005</v>
      </c>
      <c r="B9">
        <v>54480</v>
      </c>
      <c r="C9">
        <v>-37</v>
      </c>
      <c r="D9">
        <v>0</v>
      </c>
      <c r="E9" t="s">
        <v>8</v>
      </c>
      <c r="F9" t="s">
        <v>11</v>
      </c>
      <c r="J9">
        <v>7</v>
      </c>
      <c r="K9">
        <v>-92</v>
      </c>
      <c r="L9">
        <v>-37</v>
      </c>
      <c r="M9">
        <v>-90</v>
      </c>
      <c r="N9">
        <v>55</v>
      </c>
    </row>
    <row r="10" spans="1:14" x14ac:dyDescent="0.2">
      <c r="A10">
        <v>10006</v>
      </c>
      <c r="B10">
        <v>54480</v>
      </c>
      <c r="C10">
        <v>-86</v>
      </c>
      <c r="D10">
        <v>0.78</v>
      </c>
      <c r="E10" t="s">
        <v>6</v>
      </c>
      <c r="F10" t="s">
        <v>11</v>
      </c>
      <c r="J10">
        <v>8</v>
      </c>
      <c r="K10">
        <v>-92</v>
      </c>
      <c r="L10">
        <v>-37</v>
      </c>
      <c r="M10">
        <v>-87</v>
      </c>
      <c r="N10">
        <v>55</v>
      </c>
    </row>
    <row r="11" spans="1:14" x14ac:dyDescent="0.2">
      <c r="A11">
        <v>10004</v>
      </c>
      <c r="B11">
        <v>54480</v>
      </c>
      <c r="C11">
        <v>-88</v>
      </c>
      <c r="D11">
        <v>1.84</v>
      </c>
      <c r="E11" t="s">
        <v>6</v>
      </c>
      <c r="F11" t="s">
        <v>11</v>
      </c>
      <c r="J11">
        <v>9</v>
      </c>
      <c r="K11">
        <v>-91</v>
      </c>
      <c r="M11">
        <v>-86</v>
      </c>
    </row>
    <row r="12" spans="1:14" x14ac:dyDescent="0.2">
      <c r="A12">
        <v>10006</v>
      </c>
      <c r="B12">
        <v>54480</v>
      </c>
      <c r="C12">
        <v>0</v>
      </c>
      <c r="D12">
        <v>-1</v>
      </c>
      <c r="F12" t="s">
        <v>12</v>
      </c>
      <c r="J12">
        <v>10</v>
      </c>
      <c r="K12">
        <v>-90</v>
      </c>
      <c r="L12">
        <v>-37</v>
      </c>
      <c r="M12">
        <v>-88</v>
      </c>
      <c r="N12">
        <v>53</v>
      </c>
    </row>
    <row r="13" spans="1:14" x14ac:dyDescent="0.2">
      <c r="A13">
        <v>10005</v>
      </c>
      <c r="B13">
        <v>54480</v>
      </c>
      <c r="C13">
        <v>-37</v>
      </c>
      <c r="D13">
        <v>0</v>
      </c>
      <c r="E13" t="s">
        <v>8</v>
      </c>
      <c r="F13" t="s">
        <v>12</v>
      </c>
      <c r="J13">
        <v>11</v>
      </c>
      <c r="L13">
        <v>-40</v>
      </c>
      <c r="M13">
        <v>-90</v>
      </c>
      <c r="N13">
        <v>40</v>
      </c>
    </row>
    <row r="14" spans="1:14" x14ac:dyDescent="0.2">
      <c r="A14">
        <v>10004</v>
      </c>
      <c r="B14">
        <v>54480</v>
      </c>
      <c r="C14">
        <v>-89</v>
      </c>
      <c r="D14">
        <v>1.68</v>
      </c>
      <c r="E14" t="s">
        <v>6</v>
      </c>
      <c r="F14" t="s">
        <v>12</v>
      </c>
      <c r="J14">
        <v>12</v>
      </c>
      <c r="K14">
        <v>-91</v>
      </c>
      <c r="L14">
        <v>-38</v>
      </c>
      <c r="M14">
        <v>-90</v>
      </c>
      <c r="N14">
        <v>53</v>
      </c>
    </row>
    <row r="15" spans="1:14" x14ac:dyDescent="0.2">
      <c r="A15">
        <v>10005</v>
      </c>
      <c r="B15">
        <v>54480</v>
      </c>
      <c r="C15">
        <v>-37</v>
      </c>
      <c r="D15">
        <v>0</v>
      </c>
      <c r="E15" t="s">
        <v>8</v>
      </c>
      <c r="F15" t="s">
        <v>13</v>
      </c>
      <c r="J15">
        <v>13</v>
      </c>
      <c r="K15">
        <v>-90</v>
      </c>
      <c r="M15">
        <v>-89</v>
      </c>
    </row>
    <row r="16" spans="1:14" x14ac:dyDescent="0.2">
      <c r="A16">
        <v>10006</v>
      </c>
      <c r="B16">
        <v>54480</v>
      </c>
      <c r="C16">
        <v>-87</v>
      </c>
      <c r="D16">
        <v>0.89</v>
      </c>
      <c r="E16" t="s">
        <v>6</v>
      </c>
      <c r="F16" t="s">
        <v>13</v>
      </c>
      <c r="J16">
        <v>14</v>
      </c>
      <c r="K16">
        <v>-90</v>
      </c>
      <c r="L16">
        <v>-37</v>
      </c>
      <c r="M16">
        <v>-90</v>
      </c>
      <c r="N16">
        <v>53</v>
      </c>
    </row>
    <row r="17" spans="1:14" x14ac:dyDescent="0.2">
      <c r="A17">
        <v>10004</v>
      </c>
      <c r="B17">
        <v>54480</v>
      </c>
      <c r="C17">
        <v>-90</v>
      </c>
      <c r="D17">
        <v>1.68</v>
      </c>
      <c r="E17" t="s">
        <v>6</v>
      </c>
      <c r="F17" t="s">
        <v>13</v>
      </c>
      <c r="J17">
        <v>15</v>
      </c>
      <c r="K17">
        <v>-96</v>
      </c>
      <c r="M17">
        <v>-91</v>
      </c>
    </row>
    <row r="18" spans="1:14" x14ac:dyDescent="0.2">
      <c r="A18">
        <v>10005</v>
      </c>
      <c r="B18">
        <v>54480</v>
      </c>
      <c r="C18">
        <v>-37</v>
      </c>
      <c r="D18">
        <v>0</v>
      </c>
      <c r="E18" t="s">
        <v>8</v>
      </c>
      <c r="F18" t="s">
        <v>14</v>
      </c>
      <c r="J18">
        <v>16</v>
      </c>
      <c r="L18">
        <v>-37</v>
      </c>
      <c r="M18">
        <v>-90</v>
      </c>
      <c r="N18">
        <v>37</v>
      </c>
    </row>
    <row r="19" spans="1:14" x14ac:dyDescent="0.2">
      <c r="A19">
        <v>10006</v>
      </c>
      <c r="B19">
        <v>54480</v>
      </c>
      <c r="C19">
        <v>-90</v>
      </c>
      <c r="D19">
        <v>1.1000000000000001</v>
      </c>
      <c r="E19" t="s">
        <v>6</v>
      </c>
      <c r="F19" t="s">
        <v>14</v>
      </c>
      <c r="J19">
        <v>17</v>
      </c>
      <c r="L19">
        <v>-39</v>
      </c>
      <c r="M19">
        <v>-91</v>
      </c>
      <c r="N19">
        <v>39</v>
      </c>
    </row>
    <row r="20" spans="1:14" x14ac:dyDescent="0.2">
      <c r="A20">
        <v>10004</v>
      </c>
      <c r="B20">
        <v>54480</v>
      </c>
      <c r="C20">
        <v>-92</v>
      </c>
      <c r="D20">
        <v>1.79</v>
      </c>
      <c r="E20" t="s">
        <v>6</v>
      </c>
      <c r="F20" t="s">
        <v>14</v>
      </c>
      <c r="J20">
        <v>18</v>
      </c>
      <c r="K20">
        <v>-92</v>
      </c>
      <c r="L20">
        <v>-38</v>
      </c>
      <c r="M20">
        <v>-93</v>
      </c>
      <c r="N20">
        <v>54</v>
      </c>
    </row>
    <row r="21" spans="1:14" x14ac:dyDescent="0.2">
      <c r="A21">
        <v>10005</v>
      </c>
      <c r="B21">
        <v>54480</v>
      </c>
      <c r="C21">
        <v>-37</v>
      </c>
      <c r="D21">
        <v>0</v>
      </c>
      <c r="E21" t="s">
        <v>8</v>
      </c>
      <c r="F21" t="s">
        <v>15</v>
      </c>
      <c r="J21">
        <v>19</v>
      </c>
      <c r="K21">
        <v>-92</v>
      </c>
      <c r="L21">
        <v>-38</v>
      </c>
      <c r="N21">
        <v>54</v>
      </c>
    </row>
    <row r="22" spans="1:14" x14ac:dyDescent="0.2">
      <c r="A22">
        <v>10006</v>
      </c>
      <c r="B22">
        <v>54480</v>
      </c>
      <c r="C22">
        <v>-87</v>
      </c>
      <c r="D22">
        <v>1.1100000000000001</v>
      </c>
      <c r="E22" t="s">
        <v>6</v>
      </c>
      <c r="F22" t="s">
        <v>15</v>
      </c>
      <c r="J22">
        <v>20</v>
      </c>
      <c r="L22">
        <v>-38</v>
      </c>
      <c r="N22">
        <v>38</v>
      </c>
    </row>
    <row r="23" spans="1:14" x14ac:dyDescent="0.2">
      <c r="A23">
        <v>10004</v>
      </c>
      <c r="B23">
        <v>54480</v>
      </c>
      <c r="C23">
        <v>-92</v>
      </c>
      <c r="D23">
        <v>1.86</v>
      </c>
      <c r="E23" t="s">
        <v>6</v>
      </c>
      <c r="F23" t="s">
        <v>15</v>
      </c>
      <c r="J23">
        <v>21</v>
      </c>
      <c r="K23">
        <v>-90</v>
      </c>
      <c r="L23">
        <v>-38</v>
      </c>
      <c r="N23">
        <v>52</v>
      </c>
    </row>
    <row r="24" spans="1:14" x14ac:dyDescent="0.2">
      <c r="A24">
        <v>10005</v>
      </c>
      <c r="B24">
        <v>54480</v>
      </c>
      <c r="C24">
        <v>0</v>
      </c>
      <c r="D24">
        <v>-1</v>
      </c>
      <c r="F24" t="s">
        <v>16</v>
      </c>
      <c r="J24">
        <v>22</v>
      </c>
      <c r="K24">
        <v>-91</v>
      </c>
      <c r="L24">
        <v>-40</v>
      </c>
      <c r="N24">
        <v>51</v>
      </c>
    </row>
    <row r="25" spans="1:14" x14ac:dyDescent="0.2">
      <c r="A25">
        <v>10006</v>
      </c>
      <c r="B25">
        <v>54480</v>
      </c>
      <c r="C25">
        <v>-86</v>
      </c>
      <c r="D25">
        <v>1.08</v>
      </c>
      <c r="E25" t="s">
        <v>6</v>
      </c>
      <c r="F25" t="s">
        <v>16</v>
      </c>
      <c r="J25">
        <v>23</v>
      </c>
      <c r="K25">
        <v>-88</v>
      </c>
      <c r="L25">
        <v>-40</v>
      </c>
      <c r="M25">
        <v>-87</v>
      </c>
      <c r="N25">
        <v>48</v>
      </c>
    </row>
    <row r="26" spans="1:14" x14ac:dyDescent="0.2">
      <c r="A26">
        <v>10004</v>
      </c>
      <c r="B26">
        <v>54480</v>
      </c>
      <c r="C26">
        <v>-92</v>
      </c>
      <c r="D26">
        <v>1.92</v>
      </c>
      <c r="E26" t="s">
        <v>6</v>
      </c>
      <c r="F26" t="s">
        <v>16</v>
      </c>
      <c r="J26">
        <v>24</v>
      </c>
      <c r="L26">
        <v>-38</v>
      </c>
      <c r="M26">
        <v>-92</v>
      </c>
      <c r="N26">
        <v>38</v>
      </c>
    </row>
    <row r="27" spans="1:14" x14ac:dyDescent="0.2">
      <c r="A27">
        <v>10005</v>
      </c>
      <c r="B27">
        <v>54480</v>
      </c>
      <c r="C27">
        <v>-37</v>
      </c>
      <c r="D27">
        <v>0</v>
      </c>
      <c r="E27" t="s">
        <v>8</v>
      </c>
      <c r="F27" t="s">
        <v>17</v>
      </c>
      <c r="J27">
        <v>25</v>
      </c>
      <c r="K27">
        <v>-93</v>
      </c>
      <c r="L27">
        <v>-38</v>
      </c>
      <c r="M27">
        <v>-91</v>
      </c>
      <c r="N27">
        <v>55</v>
      </c>
    </row>
    <row r="28" spans="1:14" x14ac:dyDescent="0.2">
      <c r="A28">
        <v>10006</v>
      </c>
      <c r="B28">
        <v>54480</v>
      </c>
      <c r="C28">
        <v>-88</v>
      </c>
      <c r="D28">
        <v>1.1200000000000001</v>
      </c>
      <c r="E28" t="s">
        <v>6</v>
      </c>
      <c r="F28" t="s">
        <v>17</v>
      </c>
      <c r="J28">
        <v>26</v>
      </c>
      <c r="K28">
        <v>-90</v>
      </c>
      <c r="L28">
        <v>-38</v>
      </c>
      <c r="M28">
        <v>-93</v>
      </c>
      <c r="N28">
        <v>52</v>
      </c>
    </row>
    <row r="29" spans="1:14" x14ac:dyDescent="0.2">
      <c r="A29">
        <v>10004</v>
      </c>
      <c r="B29">
        <v>54480</v>
      </c>
      <c r="C29">
        <v>-91</v>
      </c>
      <c r="D29">
        <v>1.91</v>
      </c>
      <c r="E29" t="s">
        <v>6</v>
      </c>
      <c r="F29" t="s">
        <v>17</v>
      </c>
      <c r="J29">
        <v>27</v>
      </c>
      <c r="K29">
        <v>-90</v>
      </c>
      <c r="L29">
        <v>-38</v>
      </c>
      <c r="N29">
        <v>52</v>
      </c>
    </row>
    <row r="30" spans="1:14" x14ac:dyDescent="0.2">
      <c r="A30">
        <v>10005</v>
      </c>
      <c r="B30">
        <v>54480</v>
      </c>
      <c r="C30">
        <v>-40</v>
      </c>
      <c r="D30">
        <v>0</v>
      </c>
      <c r="E30" t="s">
        <v>8</v>
      </c>
      <c r="F30" t="s">
        <v>18</v>
      </c>
      <c r="J30">
        <v>28</v>
      </c>
      <c r="K30">
        <v>-91</v>
      </c>
      <c r="L30">
        <v>-38</v>
      </c>
      <c r="N30">
        <v>53</v>
      </c>
    </row>
    <row r="31" spans="1:14" x14ac:dyDescent="0.2">
      <c r="A31">
        <v>10006</v>
      </c>
      <c r="B31">
        <v>54480</v>
      </c>
      <c r="C31">
        <v>-90</v>
      </c>
      <c r="D31">
        <v>1.19</v>
      </c>
      <c r="E31" t="s">
        <v>6</v>
      </c>
      <c r="F31" t="s">
        <v>18</v>
      </c>
      <c r="J31">
        <v>29</v>
      </c>
      <c r="L31">
        <v>-39</v>
      </c>
      <c r="M31">
        <v>-92</v>
      </c>
      <c r="N31">
        <v>39</v>
      </c>
    </row>
    <row r="32" spans="1:14" x14ac:dyDescent="0.2">
      <c r="A32">
        <v>10004</v>
      </c>
      <c r="B32">
        <v>54480</v>
      </c>
      <c r="C32">
        <v>-90</v>
      </c>
      <c r="D32">
        <v>1.87</v>
      </c>
      <c r="E32" t="s">
        <v>6</v>
      </c>
      <c r="F32" t="s">
        <v>18</v>
      </c>
      <c r="J32">
        <v>30</v>
      </c>
      <c r="K32">
        <v>-94</v>
      </c>
      <c r="L32">
        <v>-40</v>
      </c>
      <c r="M32">
        <v>-91</v>
      </c>
      <c r="N32">
        <v>54</v>
      </c>
    </row>
    <row r="33" spans="1:14" x14ac:dyDescent="0.2">
      <c r="A33">
        <v>10004</v>
      </c>
      <c r="B33">
        <v>54480</v>
      </c>
      <c r="C33">
        <v>0</v>
      </c>
      <c r="D33">
        <v>-1</v>
      </c>
      <c r="F33" t="s">
        <v>19</v>
      </c>
      <c r="J33">
        <v>31</v>
      </c>
      <c r="K33">
        <v>-94</v>
      </c>
      <c r="M33">
        <v>-86</v>
      </c>
    </row>
    <row r="34" spans="1:14" x14ac:dyDescent="0.2">
      <c r="A34">
        <v>10005</v>
      </c>
      <c r="B34">
        <v>54480</v>
      </c>
      <c r="C34">
        <v>-38</v>
      </c>
      <c r="D34">
        <v>0</v>
      </c>
      <c r="E34" t="s">
        <v>8</v>
      </c>
      <c r="F34" t="s">
        <v>19</v>
      </c>
      <c r="J34">
        <v>32</v>
      </c>
      <c r="L34">
        <v>-41</v>
      </c>
      <c r="M34">
        <v>-86</v>
      </c>
      <c r="N34">
        <v>41</v>
      </c>
    </row>
    <row r="35" spans="1:14" x14ac:dyDescent="0.2">
      <c r="A35">
        <v>10006</v>
      </c>
      <c r="B35">
        <v>54480</v>
      </c>
      <c r="C35">
        <v>-90</v>
      </c>
      <c r="D35">
        <v>1.25</v>
      </c>
      <c r="E35" t="s">
        <v>6</v>
      </c>
      <c r="F35" t="s">
        <v>19</v>
      </c>
      <c r="J35">
        <v>33</v>
      </c>
      <c r="M35">
        <v>-87</v>
      </c>
    </row>
    <row r="36" spans="1:14" x14ac:dyDescent="0.2">
      <c r="A36">
        <v>10005</v>
      </c>
      <c r="B36">
        <v>54480</v>
      </c>
      <c r="C36">
        <v>0</v>
      </c>
      <c r="D36">
        <v>-1</v>
      </c>
      <c r="F36" t="s">
        <v>20</v>
      </c>
      <c r="J36">
        <v>34</v>
      </c>
      <c r="K36">
        <v>-94</v>
      </c>
      <c r="L36">
        <v>-41</v>
      </c>
      <c r="M36">
        <v>-87</v>
      </c>
      <c r="N36">
        <v>53</v>
      </c>
    </row>
    <row r="37" spans="1:14" x14ac:dyDescent="0.2">
      <c r="A37">
        <v>10006</v>
      </c>
      <c r="B37">
        <v>54480</v>
      </c>
      <c r="C37">
        <v>-89</v>
      </c>
      <c r="D37">
        <v>1.28</v>
      </c>
      <c r="E37" t="s">
        <v>6</v>
      </c>
      <c r="F37" t="s">
        <v>20</v>
      </c>
      <c r="J37">
        <v>35</v>
      </c>
      <c r="K37">
        <v>-92</v>
      </c>
      <c r="L37">
        <v>-38</v>
      </c>
      <c r="M37">
        <v>-88</v>
      </c>
      <c r="N37">
        <v>54</v>
      </c>
    </row>
    <row r="38" spans="1:14" x14ac:dyDescent="0.2">
      <c r="A38">
        <v>10004</v>
      </c>
      <c r="B38">
        <v>54480</v>
      </c>
      <c r="C38">
        <v>-91</v>
      </c>
      <c r="D38">
        <v>1.87</v>
      </c>
      <c r="E38" t="s">
        <v>6</v>
      </c>
      <c r="F38" t="s">
        <v>20</v>
      </c>
      <c r="J38">
        <v>36</v>
      </c>
      <c r="K38">
        <v>-92</v>
      </c>
      <c r="M38">
        <v>-93</v>
      </c>
    </row>
    <row r="39" spans="1:14" x14ac:dyDescent="0.2">
      <c r="A39">
        <v>10005</v>
      </c>
      <c r="B39">
        <v>54480</v>
      </c>
      <c r="C39">
        <v>-37</v>
      </c>
      <c r="D39">
        <v>0</v>
      </c>
      <c r="E39" t="s">
        <v>8</v>
      </c>
      <c r="F39" t="s">
        <v>21</v>
      </c>
      <c r="J39">
        <v>37</v>
      </c>
      <c r="K39">
        <v>-92</v>
      </c>
      <c r="L39">
        <v>-37</v>
      </c>
      <c r="M39">
        <v>-85</v>
      </c>
      <c r="N39">
        <v>55</v>
      </c>
    </row>
    <row r="40" spans="1:14" x14ac:dyDescent="0.2">
      <c r="A40">
        <v>10006</v>
      </c>
      <c r="B40">
        <v>54480</v>
      </c>
      <c r="C40">
        <v>-90</v>
      </c>
      <c r="D40">
        <v>1.32</v>
      </c>
      <c r="E40" t="s">
        <v>6</v>
      </c>
      <c r="F40" t="s">
        <v>21</v>
      </c>
      <c r="J40">
        <v>38</v>
      </c>
      <c r="K40">
        <v>-91</v>
      </c>
      <c r="L40">
        <v>-39</v>
      </c>
      <c r="M40">
        <v>-85</v>
      </c>
      <c r="N40">
        <v>52</v>
      </c>
    </row>
    <row r="41" spans="1:14" x14ac:dyDescent="0.2">
      <c r="A41">
        <v>10004</v>
      </c>
      <c r="B41">
        <v>54480</v>
      </c>
      <c r="C41">
        <v>-90</v>
      </c>
      <c r="D41">
        <v>1.84</v>
      </c>
      <c r="E41" t="s">
        <v>6</v>
      </c>
      <c r="F41" t="s">
        <v>21</v>
      </c>
      <c r="J41">
        <v>39</v>
      </c>
      <c r="K41">
        <v>-91</v>
      </c>
      <c r="L41">
        <v>-37</v>
      </c>
      <c r="M41">
        <v>-84</v>
      </c>
      <c r="N41">
        <v>54</v>
      </c>
    </row>
    <row r="42" spans="1:14" x14ac:dyDescent="0.2">
      <c r="A42">
        <v>10005</v>
      </c>
      <c r="B42">
        <v>54480</v>
      </c>
      <c r="C42">
        <v>0</v>
      </c>
      <c r="D42">
        <v>-1</v>
      </c>
      <c r="F42" t="s">
        <v>22</v>
      </c>
      <c r="J42">
        <v>40</v>
      </c>
      <c r="K42">
        <v>-94</v>
      </c>
      <c r="L42">
        <v>-40</v>
      </c>
      <c r="M42">
        <v>-84</v>
      </c>
      <c r="N42">
        <v>54</v>
      </c>
    </row>
    <row r="43" spans="1:14" x14ac:dyDescent="0.2">
      <c r="A43">
        <v>10006</v>
      </c>
      <c r="B43">
        <v>54480</v>
      </c>
      <c r="C43">
        <v>-91</v>
      </c>
      <c r="D43">
        <v>1.38</v>
      </c>
      <c r="E43" t="s">
        <v>6</v>
      </c>
      <c r="F43" t="s">
        <v>22</v>
      </c>
      <c r="J43">
        <v>41</v>
      </c>
      <c r="K43">
        <v>-95</v>
      </c>
      <c r="L43">
        <v>-38</v>
      </c>
      <c r="M43">
        <v>-85</v>
      </c>
      <c r="N43">
        <v>57</v>
      </c>
    </row>
    <row r="44" spans="1:14" x14ac:dyDescent="0.2">
      <c r="A44">
        <v>10004</v>
      </c>
      <c r="B44">
        <v>54480</v>
      </c>
      <c r="C44">
        <v>-90</v>
      </c>
      <c r="D44">
        <v>1.81</v>
      </c>
      <c r="E44" t="s">
        <v>6</v>
      </c>
      <c r="F44" t="s">
        <v>22</v>
      </c>
      <c r="J44">
        <v>42</v>
      </c>
      <c r="L44">
        <v>-38</v>
      </c>
      <c r="M44">
        <v>-84</v>
      </c>
      <c r="N44">
        <v>38</v>
      </c>
    </row>
    <row r="45" spans="1:14" x14ac:dyDescent="0.2">
      <c r="A45">
        <v>10005</v>
      </c>
      <c r="B45">
        <v>54480</v>
      </c>
      <c r="C45">
        <v>-37</v>
      </c>
      <c r="D45">
        <v>0</v>
      </c>
      <c r="E45" t="s">
        <v>8</v>
      </c>
      <c r="F45" t="s">
        <v>23</v>
      </c>
      <c r="J45">
        <v>43</v>
      </c>
      <c r="L45">
        <v>-39</v>
      </c>
      <c r="N45">
        <v>39</v>
      </c>
    </row>
    <row r="46" spans="1:14" x14ac:dyDescent="0.2">
      <c r="A46">
        <v>10006</v>
      </c>
      <c r="B46">
        <v>54480</v>
      </c>
      <c r="C46">
        <v>-90</v>
      </c>
      <c r="D46">
        <v>1.41</v>
      </c>
      <c r="E46" t="s">
        <v>6</v>
      </c>
      <c r="F46" t="s">
        <v>23</v>
      </c>
      <c r="J46">
        <v>44</v>
      </c>
      <c r="L46">
        <v>-39</v>
      </c>
      <c r="M46">
        <v>-91</v>
      </c>
      <c r="N46">
        <v>39</v>
      </c>
    </row>
    <row r="47" spans="1:14" x14ac:dyDescent="0.2">
      <c r="A47">
        <v>10004</v>
      </c>
      <c r="B47">
        <v>54480</v>
      </c>
      <c r="C47">
        <v>-96</v>
      </c>
      <c r="D47">
        <v>1.94</v>
      </c>
      <c r="E47" t="s">
        <v>6</v>
      </c>
      <c r="F47" t="s">
        <v>23</v>
      </c>
      <c r="J47">
        <v>45</v>
      </c>
      <c r="L47">
        <v>-38</v>
      </c>
      <c r="M47">
        <v>-93</v>
      </c>
      <c r="N47">
        <v>38</v>
      </c>
    </row>
    <row r="48" spans="1:14" x14ac:dyDescent="0.2">
      <c r="A48">
        <v>10004</v>
      </c>
      <c r="B48">
        <v>54480</v>
      </c>
      <c r="C48">
        <v>0</v>
      </c>
      <c r="D48">
        <v>-1</v>
      </c>
      <c r="F48" t="s">
        <v>24</v>
      </c>
      <c r="J48">
        <v>46</v>
      </c>
      <c r="K48">
        <v>-88</v>
      </c>
      <c r="L48">
        <v>-38</v>
      </c>
      <c r="M48">
        <v>-82</v>
      </c>
      <c r="N48">
        <v>50</v>
      </c>
    </row>
    <row r="49" spans="1:14" x14ac:dyDescent="0.2">
      <c r="A49">
        <v>10005</v>
      </c>
      <c r="B49">
        <v>54480</v>
      </c>
      <c r="C49">
        <v>-39</v>
      </c>
      <c r="D49">
        <v>0</v>
      </c>
      <c r="E49" t="s">
        <v>8</v>
      </c>
      <c r="F49" t="s">
        <v>24</v>
      </c>
      <c r="J49">
        <v>47</v>
      </c>
      <c r="L49">
        <v>-40</v>
      </c>
      <c r="M49">
        <v>-89</v>
      </c>
      <c r="N49">
        <v>40</v>
      </c>
    </row>
    <row r="50" spans="1:14" x14ac:dyDescent="0.2">
      <c r="A50">
        <v>10006</v>
      </c>
      <c r="B50">
        <v>54480</v>
      </c>
      <c r="C50">
        <v>-91</v>
      </c>
      <c r="D50">
        <v>1.46</v>
      </c>
      <c r="E50" t="s">
        <v>6</v>
      </c>
      <c r="F50" t="s">
        <v>24</v>
      </c>
      <c r="J50">
        <v>48</v>
      </c>
      <c r="K50">
        <v>-93</v>
      </c>
      <c r="L50">
        <v>-40</v>
      </c>
      <c r="M50">
        <v>-80</v>
      </c>
      <c r="N50">
        <v>53</v>
      </c>
    </row>
    <row r="51" spans="1:14" x14ac:dyDescent="0.2">
      <c r="A51">
        <v>10004</v>
      </c>
      <c r="B51">
        <v>54480</v>
      </c>
      <c r="C51">
        <v>0</v>
      </c>
      <c r="D51">
        <v>-1</v>
      </c>
      <c r="F51" t="s">
        <v>25</v>
      </c>
      <c r="J51">
        <v>49</v>
      </c>
      <c r="L51">
        <v>-38</v>
      </c>
      <c r="N51">
        <v>38</v>
      </c>
    </row>
    <row r="52" spans="1:14" x14ac:dyDescent="0.2">
      <c r="A52">
        <v>10005</v>
      </c>
      <c r="B52">
        <v>54480</v>
      </c>
      <c r="C52">
        <v>-38</v>
      </c>
      <c r="D52">
        <v>0</v>
      </c>
      <c r="E52" t="s">
        <v>8</v>
      </c>
      <c r="F52" t="s">
        <v>25</v>
      </c>
      <c r="J52">
        <v>50</v>
      </c>
      <c r="K52">
        <v>-89</v>
      </c>
      <c r="L52">
        <v>-38</v>
      </c>
      <c r="N52">
        <v>51</v>
      </c>
    </row>
    <row r="53" spans="1:14" x14ac:dyDescent="0.2">
      <c r="A53">
        <v>10006</v>
      </c>
      <c r="B53">
        <v>54480</v>
      </c>
      <c r="C53">
        <v>-93</v>
      </c>
      <c r="D53">
        <v>1.53</v>
      </c>
      <c r="E53" t="s">
        <v>6</v>
      </c>
      <c r="F53" t="s">
        <v>25</v>
      </c>
      <c r="J53">
        <v>51</v>
      </c>
      <c r="K53">
        <v>-89</v>
      </c>
      <c r="L53">
        <v>-38</v>
      </c>
      <c r="N53">
        <v>51</v>
      </c>
    </row>
    <row r="54" spans="1:14" x14ac:dyDescent="0.2">
      <c r="A54">
        <v>10006</v>
      </c>
      <c r="B54">
        <v>54480</v>
      </c>
      <c r="C54">
        <v>0</v>
      </c>
      <c r="D54">
        <v>-1</v>
      </c>
      <c r="F54" t="s">
        <v>26</v>
      </c>
      <c r="J54">
        <v>52</v>
      </c>
      <c r="L54">
        <v>-38</v>
      </c>
      <c r="M54">
        <v>-87</v>
      </c>
      <c r="N54">
        <v>38</v>
      </c>
    </row>
    <row r="55" spans="1:14" x14ac:dyDescent="0.2">
      <c r="A55">
        <v>10005</v>
      </c>
      <c r="B55">
        <v>54480</v>
      </c>
      <c r="C55">
        <v>-38</v>
      </c>
      <c r="D55">
        <v>0</v>
      </c>
      <c r="E55" t="s">
        <v>8</v>
      </c>
      <c r="F55" t="s">
        <v>26</v>
      </c>
      <c r="J55">
        <v>53</v>
      </c>
      <c r="L55">
        <v>-40</v>
      </c>
      <c r="M55">
        <v>-87</v>
      </c>
      <c r="N55">
        <v>40</v>
      </c>
    </row>
    <row r="56" spans="1:14" x14ac:dyDescent="0.2">
      <c r="A56">
        <v>10004</v>
      </c>
      <c r="B56">
        <v>54480</v>
      </c>
      <c r="C56">
        <v>-92</v>
      </c>
      <c r="D56">
        <v>1.96</v>
      </c>
      <c r="E56" t="s">
        <v>6</v>
      </c>
      <c r="F56" t="s">
        <v>26</v>
      </c>
      <c r="J56">
        <v>54</v>
      </c>
      <c r="K56">
        <v>-91</v>
      </c>
      <c r="L56">
        <v>-38</v>
      </c>
      <c r="M56">
        <v>-91</v>
      </c>
      <c r="N56">
        <v>53</v>
      </c>
    </row>
    <row r="57" spans="1:14" x14ac:dyDescent="0.2">
      <c r="A57">
        <v>10006</v>
      </c>
      <c r="B57">
        <v>54480</v>
      </c>
      <c r="C57">
        <v>0</v>
      </c>
      <c r="D57">
        <v>-1</v>
      </c>
      <c r="F57" t="s">
        <v>27</v>
      </c>
      <c r="J57">
        <v>55</v>
      </c>
      <c r="K57">
        <v>-91</v>
      </c>
      <c r="L57">
        <v>-40</v>
      </c>
      <c r="M57">
        <v>-91</v>
      </c>
      <c r="N57">
        <v>51</v>
      </c>
    </row>
    <row r="58" spans="1:14" x14ac:dyDescent="0.2">
      <c r="A58">
        <v>10005</v>
      </c>
      <c r="B58">
        <v>54480</v>
      </c>
      <c r="C58">
        <v>-38</v>
      </c>
      <c r="D58">
        <v>0</v>
      </c>
      <c r="E58" t="s">
        <v>8</v>
      </c>
      <c r="F58" t="s">
        <v>27</v>
      </c>
      <c r="J58">
        <v>56</v>
      </c>
      <c r="K58">
        <v>-91</v>
      </c>
      <c r="L58">
        <v>-36</v>
      </c>
      <c r="M58">
        <v>-91</v>
      </c>
      <c r="N58">
        <v>55</v>
      </c>
    </row>
    <row r="59" spans="1:14" x14ac:dyDescent="0.2">
      <c r="A59">
        <v>10004</v>
      </c>
      <c r="B59">
        <v>54480</v>
      </c>
      <c r="C59">
        <v>-92</v>
      </c>
      <c r="D59">
        <v>1.99</v>
      </c>
      <c r="E59" t="s">
        <v>6</v>
      </c>
      <c r="F59" t="s">
        <v>27</v>
      </c>
      <c r="J59">
        <v>57</v>
      </c>
      <c r="K59">
        <v>-91</v>
      </c>
      <c r="L59">
        <v>-40</v>
      </c>
      <c r="M59">
        <v>-86</v>
      </c>
      <c r="N59">
        <v>51</v>
      </c>
    </row>
    <row r="60" spans="1:14" x14ac:dyDescent="0.2">
      <c r="A60">
        <v>10004</v>
      </c>
      <c r="B60">
        <v>54480</v>
      </c>
      <c r="C60">
        <v>0</v>
      </c>
      <c r="D60">
        <v>-1</v>
      </c>
      <c r="F60" t="s">
        <v>28</v>
      </c>
      <c r="J60">
        <v>58</v>
      </c>
      <c r="K60">
        <v>-90</v>
      </c>
      <c r="L60">
        <v>-37</v>
      </c>
      <c r="M60">
        <v>-83</v>
      </c>
      <c r="N60">
        <v>53</v>
      </c>
    </row>
    <row r="61" spans="1:14" x14ac:dyDescent="0.2">
      <c r="A61">
        <v>10006</v>
      </c>
      <c r="B61">
        <v>54480</v>
      </c>
      <c r="C61">
        <v>0</v>
      </c>
      <c r="D61">
        <v>-1</v>
      </c>
      <c r="F61" t="s">
        <v>28</v>
      </c>
      <c r="J61">
        <v>59</v>
      </c>
      <c r="K61">
        <v>-90</v>
      </c>
      <c r="L61">
        <v>-41</v>
      </c>
      <c r="M61">
        <v>-84</v>
      </c>
      <c r="N61">
        <v>49</v>
      </c>
    </row>
    <row r="62" spans="1:14" x14ac:dyDescent="0.2">
      <c r="A62">
        <v>10005</v>
      </c>
      <c r="B62">
        <v>54480</v>
      </c>
      <c r="C62">
        <v>-38</v>
      </c>
      <c r="D62">
        <v>0</v>
      </c>
      <c r="E62" t="s">
        <v>8</v>
      </c>
      <c r="F62" t="s">
        <v>28</v>
      </c>
      <c r="J62">
        <v>60</v>
      </c>
      <c r="L62">
        <v>-38</v>
      </c>
      <c r="M62">
        <v>-88</v>
      </c>
      <c r="N62">
        <v>38</v>
      </c>
    </row>
    <row r="63" spans="1:14" x14ac:dyDescent="0.2">
      <c r="A63">
        <v>10006</v>
      </c>
      <c r="B63">
        <v>54480</v>
      </c>
      <c r="C63">
        <v>0</v>
      </c>
      <c r="D63">
        <v>-1</v>
      </c>
      <c r="F63" t="s">
        <v>29</v>
      </c>
    </row>
    <row r="64" spans="1:14" x14ac:dyDescent="0.2">
      <c r="A64">
        <v>10005</v>
      </c>
      <c r="B64">
        <v>54480</v>
      </c>
      <c r="C64">
        <v>-40</v>
      </c>
      <c r="D64">
        <v>0</v>
      </c>
      <c r="E64" t="s">
        <v>8</v>
      </c>
      <c r="F64" t="s">
        <v>29</v>
      </c>
    </row>
    <row r="65" spans="1:6" x14ac:dyDescent="0.2">
      <c r="A65">
        <v>10004</v>
      </c>
      <c r="B65">
        <v>54480</v>
      </c>
      <c r="C65">
        <v>-90</v>
      </c>
      <c r="D65">
        <v>1.94</v>
      </c>
      <c r="E65" t="s">
        <v>6</v>
      </c>
      <c r="F65" t="s">
        <v>29</v>
      </c>
    </row>
    <row r="66" spans="1:6" x14ac:dyDescent="0.2">
      <c r="A66">
        <v>10005</v>
      </c>
      <c r="B66">
        <v>54480</v>
      </c>
      <c r="C66">
        <v>-40</v>
      </c>
      <c r="D66">
        <v>0</v>
      </c>
      <c r="E66" t="s">
        <v>8</v>
      </c>
      <c r="F66" t="s">
        <v>30</v>
      </c>
    </row>
    <row r="67" spans="1:6" x14ac:dyDescent="0.2">
      <c r="A67">
        <v>10006</v>
      </c>
      <c r="B67">
        <v>54480</v>
      </c>
      <c r="C67">
        <v>-87</v>
      </c>
      <c r="D67">
        <v>1.47</v>
      </c>
      <c r="E67" t="s">
        <v>6</v>
      </c>
      <c r="F67" t="s">
        <v>30</v>
      </c>
    </row>
    <row r="68" spans="1:6" x14ac:dyDescent="0.2">
      <c r="A68">
        <v>10004</v>
      </c>
      <c r="B68">
        <v>54480</v>
      </c>
      <c r="C68">
        <v>-91</v>
      </c>
      <c r="D68">
        <v>1.93</v>
      </c>
      <c r="E68" t="s">
        <v>6</v>
      </c>
      <c r="F68" t="s">
        <v>30</v>
      </c>
    </row>
    <row r="69" spans="1:6" x14ac:dyDescent="0.2">
      <c r="A69">
        <v>10005</v>
      </c>
      <c r="B69">
        <v>54480</v>
      </c>
      <c r="C69">
        <v>-38</v>
      </c>
      <c r="D69">
        <v>0</v>
      </c>
      <c r="E69" t="s">
        <v>8</v>
      </c>
      <c r="F69" t="s">
        <v>31</v>
      </c>
    </row>
    <row r="70" spans="1:6" x14ac:dyDescent="0.2">
      <c r="A70">
        <v>10006</v>
      </c>
      <c r="B70">
        <v>54480</v>
      </c>
      <c r="C70">
        <v>-92</v>
      </c>
      <c r="D70">
        <v>1.62</v>
      </c>
      <c r="E70" t="s">
        <v>6</v>
      </c>
      <c r="F70" t="s">
        <v>31</v>
      </c>
    </row>
    <row r="71" spans="1:6" x14ac:dyDescent="0.2">
      <c r="A71">
        <v>10004</v>
      </c>
      <c r="B71">
        <v>54480</v>
      </c>
      <c r="C71">
        <v>-88</v>
      </c>
      <c r="D71">
        <v>1.8</v>
      </c>
      <c r="E71" t="s">
        <v>6</v>
      </c>
      <c r="F71" t="s">
        <v>31</v>
      </c>
    </row>
    <row r="72" spans="1:6" x14ac:dyDescent="0.2">
      <c r="A72">
        <v>10004</v>
      </c>
      <c r="B72">
        <v>54480</v>
      </c>
      <c r="C72">
        <v>0</v>
      </c>
      <c r="D72">
        <v>-1</v>
      </c>
      <c r="F72" t="s">
        <v>32</v>
      </c>
    </row>
    <row r="73" spans="1:6" x14ac:dyDescent="0.2">
      <c r="A73">
        <v>10005</v>
      </c>
      <c r="B73">
        <v>54480</v>
      </c>
      <c r="C73">
        <v>-38</v>
      </c>
      <c r="D73">
        <v>0</v>
      </c>
      <c r="E73" t="s">
        <v>8</v>
      </c>
      <c r="F73" t="s">
        <v>32</v>
      </c>
    </row>
    <row r="74" spans="1:6" x14ac:dyDescent="0.2">
      <c r="A74">
        <v>10006</v>
      </c>
      <c r="B74">
        <v>54480</v>
      </c>
      <c r="C74">
        <v>-91</v>
      </c>
      <c r="D74">
        <v>1.68</v>
      </c>
      <c r="E74" t="s">
        <v>6</v>
      </c>
      <c r="F74" t="s">
        <v>32</v>
      </c>
    </row>
    <row r="75" spans="1:6" x14ac:dyDescent="0.2">
      <c r="A75">
        <v>10005</v>
      </c>
      <c r="B75">
        <v>54480</v>
      </c>
      <c r="C75">
        <v>-38</v>
      </c>
      <c r="D75">
        <v>0</v>
      </c>
      <c r="E75" t="s">
        <v>8</v>
      </c>
      <c r="F75" t="s">
        <v>33</v>
      </c>
    </row>
    <row r="76" spans="1:6" x14ac:dyDescent="0.2">
      <c r="A76">
        <v>10006</v>
      </c>
      <c r="B76">
        <v>54480</v>
      </c>
      <c r="C76">
        <v>-93</v>
      </c>
      <c r="D76">
        <v>1.79</v>
      </c>
      <c r="E76" t="s">
        <v>6</v>
      </c>
      <c r="F76" t="s">
        <v>33</v>
      </c>
    </row>
    <row r="77" spans="1:6" x14ac:dyDescent="0.2">
      <c r="A77">
        <v>10004</v>
      </c>
      <c r="B77">
        <v>54480</v>
      </c>
      <c r="C77">
        <v>-93</v>
      </c>
      <c r="D77">
        <v>1.87</v>
      </c>
      <c r="E77" t="s">
        <v>6</v>
      </c>
      <c r="F77" t="s">
        <v>33</v>
      </c>
    </row>
    <row r="78" spans="1:6" x14ac:dyDescent="0.2">
      <c r="A78">
        <v>10006</v>
      </c>
      <c r="B78">
        <v>54480</v>
      </c>
      <c r="C78">
        <v>0</v>
      </c>
      <c r="D78">
        <v>-1</v>
      </c>
      <c r="F78" t="s">
        <v>34</v>
      </c>
    </row>
    <row r="79" spans="1:6" x14ac:dyDescent="0.2">
      <c r="A79">
        <v>10005</v>
      </c>
      <c r="B79">
        <v>54480</v>
      </c>
      <c r="C79">
        <v>-38</v>
      </c>
      <c r="D79">
        <v>0</v>
      </c>
      <c r="E79" t="s">
        <v>8</v>
      </c>
      <c r="F79" t="s">
        <v>34</v>
      </c>
    </row>
    <row r="80" spans="1:6" x14ac:dyDescent="0.2">
      <c r="A80">
        <v>10004</v>
      </c>
      <c r="B80">
        <v>54480</v>
      </c>
      <c r="C80">
        <v>-90</v>
      </c>
      <c r="D80">
        <v>1.84</v>
      </c>
      <c r="E80" t="s">
        <v>6</v>
      </c>
      <c r="F80" t="s">
        <v>34</v>
      </c>
    </row>
    <row r="81" spans="1:6" x14ac:dyDescent="0.2">
      <c r="A81">
        <v>10006</v>
      </c>
      <c r="B81">
        <v>54480</v>
      </c>
      <c r="C81">
        <v>0</v>
      </c>
      <c r="D81">
        <v>-1</v>
      </c>
      <c r="F81" t="s">
        <v>35</v>
      </c>
    </row>
    <row r="82" spans="1:6" x14ac:dyDescent="0.2">
      <c r="A82">
        <v>10005</v>
      </c>
      <c r="B82">
        <v>54480</v>
      </c>
      <c r="C82">
        <v>-38</v>
      </c>
      <c r="D82">
        <v>0</v>
      </c>
      <c r="E82" t="s">
        <v>8</v>
      </c>
      <c r="F82" t="s">
        <v>35</v>
      </c>
    </row>
    <row r="83" spans="1:6" x14ac:dyDescent="0.2">
      <c r="A83">
        <v>10004</v>
      </c>
      <c r="B83">
        <v>54480</v>
      </c>
      <c r="C83">
        <v>-90</v>
      </c>
      <c r="D83">
        <v>1.81</v>
      </c>
      <c r="E83" t="s">
        <v>6</v>
      </c>
      <c r="F83" t="s">
        <v>35</v>
      </c>
    </row>
    <row r="84" spans="1:6" x14ac:dyDescent="0.2">
      <c r="A84">
        <v>10005</v>
      </c>
      <c r="B84">
        <v>54480</v>
      </c>
      <c r="C84">
        <v>-39</v>
      </c>
      <c r="D84">
        <v>0</v>
      </c>
      <c r="E84" t="s">
        <v>8</v>
      </c>
      <c r="F84" t="s">
        <v>36</v>
      </c>
    </row>
    <row r="85" spans="1:6" x14ac:dyDescent="0.2">
      <c r="A85">
        <v>10004</v>
      </c>
      <c r="B85">
        <v>54480</v>
      </c>
      <c r="C85">
        <v>-91</v>
      </c>
      <c r="D85">
        <v>1.82</v>
      </c>
      <c r="E85" t="s">
        <v>6</v>
      </c>
      <c r="F85" t="s">
        <v>36</v>
      </c>
    </row>
    <row r="86" spans="1:6" x14ac:dyDescent="0.2">
      <c r="A86">
        <v>10006</v>
      </c>
      <c r="B86">
        <v>54480</v>
      </c>
      <c r="C86">
        <v>-92</v>
      </c>
      <c r="D86">
        <v>1.84</v>
      </c>
      <c r="E86" t="s">
        <v>6</v>
      </c>
      <c r="F86" t="s">
        <v>36</v>
      </c>
    </row>
    <row r="87" spans="1:6" x14ac:dyDescent="0.2">
      <c r="A87">
        <v>10004</v>
      </c>
      <c r="B87">
        <v>54480</v>
      </c>
      <c r="C87">
        <v>0</v>
      </c>
      <c r="D87">
        <v>-1</v>
      </c>
      <c r="F87" t="s">
        <v>37</v>
      </c>
    </row>
    <row r="88" spans="1:6" x14ac:dyDescent="0.2">
      <c r="A88">
        <v>10005</v>
      </c>
      <c r="B88">
        <v>54480</v>
      </c>
      <c r="C88">
        <v>-40</v>
      </c>
      <c r="D88">
        <v>0</v>
      </c>
      <c r="E88" t="s">
        <v>8</v>
      </c>
      <c r="F88" t="s">
        <v>37</v>
      </c>
    </row>
    <row r="89" spans="1:6" x14ac:dyDescent="0.2">
      <c r="A89">
        <v>10006</v>
      </c>
      <c r="B89">
        <v>54480</v>
      </c>
      <c r="C89">
        <v>-91</v>
      </c>
      <c r="D89">
        <v>1.85</v>
      </c>
      <c r="E89" t="s">
        <v>6</v>
      </c>
      <c r="F89" t="s">
        <v>37</v>
      </c>
    </row>
    <row r="90" spans="1:6" x14ac:dyDescent="0.2">
      <c r="A90">
        <v>10005</v>
      </c>
      <c r="B90">
        <v>54480</v>
      </c>
      <c r="C90">
        <v>0</v>
      </c>
      <c r="D90">
        <v>-1</v>
      </c>
      <c r="F90" t="s">
        <v>38</v>
      </c>
    </row>
    <row r="91" spans="1:6" x14ac:dyDescent="0.2">
      <c r="A91">
        <v>10006</v>
      </c>
      <c r="B91">
        <v>54480</v>
      </c>
      <c r="C91">
        <v>-86</v>
      </c>
      <c r="D91">
        <v>1.61</v>
      </c>
      <c r="E91" t="s">
        <v>6</v>
      </c>
      <c r="F91" t="s">
        <v>38</v>
      </c>
    </row>
    <row r="92" spans="1:6" x14ac:dyDescent="0.2">
      <c r="A92">
        <v>10004</v>
      </c>
      <c r="B92">
        <v>54480</v>
      </c>
      <c r="C92">
        <v>-94</v>
      </c>
      <c r="D92">
        <v>1.9</v>
      </c>
      <c r="E92" t="s">
        <v>6</v>
      </c>
      <c r="F92" t="s">
        <v>38</v>
      </c>
    </row>
    <row r="93" spans="1:6" x14ac:dyDescent="0.2">
      <c r="A93">
        <v>10005</v>
      </c>
      <c r="B93">
        <v>54480</v>
      </c>
      <c r="C93">
        <v>-41</v>
      </c>
      <c r="D93">
        <v>0</v>
      </c>
      <c r="E93" t="s">
        <v>8</v>
      </c>
      <c r="F93" t="s">
        <v>39</v>
      </c>
    </row>
    <row r="94" spans="1:6" x14ac:dyDescent="0.2">
      <c r="A94">
        <v>10006</v>
      </c>
      <c r="B94">
        <v>54480</v>
      </c>
      <c r="C94">
        <v>-86</v>
      </c>
      <c r="D94">
        <v>1.47</v>
      </c>
      <c r="E94" t="s">
        <v>6</v>
      </c>
      <c r="F94" t="s">
        <v>39</v>
      </c>
    </row>
    <row r="95" spans="1:6" x14ac:dyDescent="0.2">
      <c r="A95">
        <v>10004</v>
      </c>
      <c r="B95">
        <v>54480</v>
      </c>
      <c r="C95">
        <v>-94</v>
      </c>
      <c r="D95">
        <v>1.98</v>
      </c>
      <c r="E95" t="s">
        <v>6</v>
      </c>
      <c r="F95" t="s">
        <v>39</v>
      </c>
    </row>
    <row r="96" spans="1:6" x14ac:dyDescent="0.2">
      <c r="A96">
        <v>10004</v>
      </c>
      <c r="B96">
        <v>54480</v>
      </c>
      <c r="C96">
        <v>0</v>
      </c>
      <c r="D96">
        <v>-1</v>
      </c>
      <c r="F96" t="s">
        <v>40</v>
      </c>
    </row>
    <row r="97" spans="1:6" x14ac:dyDescent="0.2">
      <c r="A97">
        <v>10005</v>
      </c>
      <c r="B97">
        <v>54480</v>
      </c>
      <c r="C97">
        <v>0</v>
      </c>
      <c r="D97">
        <v>-1</v>
      </c>
      <c r="F97" t="s">
        <v>40</v>
      </c>
    </row>
    <row r="98" spans="1:6" x14ac:dyDescent="0.2">
      <c r="A98">
        <v>10006</v>
      </c>
      <c r="B98">
        <v>54480</v>
      </c>
      <c r="C98">
        <v>-87</v>
      </c>
      <c r="D98">
        <v>1.41</v>
      </c>
      <c r="E98" t="s">
        <v>6</v>
      </c>
      <c r="F98" t="s">
        <v>40</v>
      </c>
    </row>
    <row r="99" spans="1:6" x14ac:dyDescent="0.2">
      <c r="A99">
        <v>10004</v>
      </c>
      <c r="B99">
        <v>54480</v>
      </c>
      <c r="C99">
        <v>0</v>
      </c>
      <c r="D99">
        <v>-1</v>
      </c>
      <c r="F99" t="s">
        <v>41</v>
      </c>
    </row>
    <row r="100" spans="1:6" x14ac:dyDescent="0.2">
      <c r="A100">
        <v>10005</v>
      </c>
      <c r="B100">
        <v>54480</v>
      </c>
      <c r="C100">
        <v>-41</v>
      </c>
      <c r="D100">
        <v>0</v>
      </c>
      <c r="E100" t="s">
        <v>8</v>
      </c>
      <c r="F100" t="s">
        <v>41</v>
      </c>
    </row>
    <row r="101" spans="1:6" x14ac:dyDescent="0.2">
      <c r="A101">
        <v>10006</v>
      </c>
      <c r="B101">
        <v>54480</v>
      </c>
      <c r="C101">
        <v>-87</v>
      </c>
      <c r="D101">
        <v>1.37</v>
      </c>
      <c r="E101" t="s">
        <v>6</v>
      </c>
      <c r="F101" t="s">
        <v>41</v>
      </c>
    </row>
    <row r="102" spans="1:6" x14ac:dyDescent="0.2">
      <c r="A102">
        <v>10005</v>
      </c>
      <c r="B102">
        <v>54480</v>
      </c>
      <c r="C102">
        <v>-38</v>
      </c>
      <c r="D102">
        <v>0</v>
      </c>
      <c r="E102" t="s">
        <v>8</v>
      </c>
      <c r="F102" t="s">
        <v>42</v>
      </c>
    </row>
    <row r="103" spans="1:6" x14ac:dyDescent="0.2">
      <c r="A103">
        <v>10006</v>
      </c>
      <c r="B103">
        <v>54480</v>
      </c>
      <c r="C103">
        <v>-88</v>
      </c>
      <c r="D103">
        <v>1.36</v>
      </c>
      <c r="E103" t="s">
        <v>6</v>
      </c>
      <c r="F103" t="s">
        <v>42</v>
      </c>
    </row>
    <row r="104" spans="1:6" x14ac:dyDescent="0.2">
      <c r="A104">
        <v>10004</v>
      </c>
      <c r="B104">
        <v>54480</v>
      </c>
      <c r="C104">
        <v>-94</v>
      </c>
      <c r="D104">
        <v>2.06</v>
      </c>
      <c r="E104" t="s">
        <v>6</v>
      </c>
      <c r="F104" t="s">
        <v>42</v>
      </c>
    </row>
    <row r="105" spans="1:6" x14ac:dyDescent="0.2">
      <c r="A105">
        <v>10005</v>
      </c>
      <c r="B105">
        <v>54480</v>
      </c>
      <c r="C105">
        <v>0</v>
      </c>
      <c r="D105">
        <v>-1</v>
      </c>
      <c r="F105" t="s">
        <v>43</v>
      </c>
    </row>
    <row r="106" spans="1:6" x14ac:dyDescent="0.2">
      <c r="A106">
        <v>10006</v>
      </c>
      <c r="B106">
        <v>54480</v>
      </c>
      <c r="C106">
        <v>-93</v>
      </c>
      <c r="D106">
        <v>1.44</v>
      </c>
      <c r="E106" t="s">
        <v>6</v>
      </c>
      <c r="F106" t="s">
        <v>43</v>
      </c>
    </row>
    <row r="107" spans="1:6" x14ac:dyDescent="0.2">
      <c r="A107">
        <v>10004</v>
      </c>
      <c r="B107">
        <v>54480</v>
      </c>
      <c r="C107">
        <v>-92</v>
      </c>
      <c r="D107">
        <v>2.0699999999999998</v>
      </c>
      <c r="E107" t="s">
        <v>6</v>
      </c>
      <c r="F107" t="s">
        <v>43</v>
      </c>
    </row>
    <row r="108" spans="1:6" x14ac:dyDescent="0.2">
      <c r="A108">
        <v>10005</v>
      </c>
      <c r="B108">
        <v>54480</v>
      </c>
      <c r="C108">
        <v>-37</v>
      </c>
      <c r="D108">
        <v>0</v>
      </c>
      <c r="E108" t="s">
        <v>8</v>
      </c>
      <c r="F108" t="s">
        <v>44</v>
      </c>
    </row>
    <row r="109" spans="1:6" x14ac:dyDescent="0.2">
      <c r="A109">
        <v>10006</v>
      </c>
      <c r="B109">
        <v>54480</v>
      </c>
      <c r="C109">
        <v>-85</v>
      </c>
      <c r="D109">
        <v>1.33</v>
      </c>
      <c r="E109" t="s">
        <v>6</v>
      </c>
      <c r="F109" t="s">
        <v>44</v>
      </c>
    </row>
    <row r="110" spans="1:6" x14ac:dyDescent="0.2">
      <c r="A110">
        <v>10004</v>
      </c>
      <c r="B110">
        <v>54480</v>
      </c>
      <c r="C110">
        <v>-92</v>
      </c>
      <c r="D110">
        <v>2.09</v>
      </c>
      <c r="E110" t="s">
        <v>6</v>
      </c>
      <c r="F110" t="s">
        <v>44</v>
      </c>
    </row>
    <row r="111" spans="1:6" x14ac:dyDescent="0.2">
      <c r="A111">
        <v>10005</v>
      </c>
      <c r="B111">
        <v>54480</v>
      </c>
      <c r="C111">
        <v>-39</v>
      </c>
      <c r="D111">
        <v>0</v>
      </c>
      <c r="E111" t="s">
        <v>8</v>
      </c>
      <c r="F111" t="s">
        <v>45</v>
      </c>
    </row>
    <row r="112" spans="1:6" x14ac:dyDescent="0.2">
      <c r="A112">
        <v>10006</v>
      </c>
      <c r="B112">
        <v>54480</v>
      </c>
      <c r="C112">
        <v>-85</v>
      </c>
      <c r="D112">
        <v>1.26</v>
      </c>
      <c r="E112" t="s">
        <v>6</v>
      </c>
      <c r="F112" t="s">
        <v>45</v>
      </c>
    </row>
    <row r="113" spans="1:6" x14ac:dyDescent="0.2">
      <c r="A113">
        <v>10004</v>
      </c>
      <c r="B113">
        <v>54480</v>
      </c>
      <c r="C113">
        <v>-92</v>
      </c>
      <c r="D113">
        <v>2.09</v>
      </c>
      <c r="E113" t="s">
        <v>6</v>
      </c>
      <c r="F113" t="s">
        <v>45</v>
      </c>
    </row>
    <row r="114" spans="1:6" x14ac:dyDescent="0.2">
      <c r="A114">
        <v>10005</v>
      </c>
      <c r="B114">
        <v>54480</v>
      </c>
      <c r="C114">
        <v>-37</v>
      </c>
      <c r="D114">
        <v>0</v>
      </c>
      <c r="E114" t="s">
        <v>8</v>
      </c>
      <c r="F114" t="s">
        <v>46</v>
      </c>
    </row>
    <row r="115" spans="1:6" x14ac:dyDescent="0.2">
      <c r="A115">
        <v>10006</v>
      </c>
      <c r="B115">
        <v>54480</v>
      </c>
      <c r="C115">
        <v>-84</v>
      </c>
      <c r="D115">
        <v>1.17</v>
      </c>
      <c r="E115" t="s">
        <v>6</v>
      </c>
      <c r="F115" t="s">
        <v>46</v>
      </c>
    </row>
    <row r="116" spans="1:6" x14ac:dyDescent="0.2">
      <c r="A116">
        <v>10004</v>
      </c>
      <c r="B116">
        <v>54480</v>
      </c>
      <c r="C116">
        <v>-91</v>
      </c>
      <c r="D116">
        <v>2.0699999999999998</v>
      </c>
      <c r="E116" t="s">
        <v>6</v>
      </c>
      <c r="F116" t="s">
        <v>46</v>
      </c>
    </row>
    <row r="117" spans="1:6" x14ac:dyDescent="0.2">
      <c r="A117">
        <v>10005</v>
      </c>
      <c r="B117">
        <v>54480</v>
      </c>
      <c r="C117">
        <v>-40</v>
      </c>
      <c r="D117">
        <v>0</v>
      </c>
      <c r="E117" t="s">
        <v>8</v>
      </c>
      <c r="F117" t="s">
        <v>47</v>
      </c>
    </row>
    <row r="118" spans="1:6" x14ac:dyDescent="0.2">
      <c r="A118">
        <v>10006</v>
      </c>
      <c r="B118">
        <v>54480</v>
      </c>
      <c r="C118">
        <v>-84</v>
      </c>
      <c r="D118">
        <v>1.1100000000000001</v>
      </c>
      <c r="E118" t="s">
        <v>6</v>
      </c>
      <c r="F118" t="s">
        <v>47</v>
      </c>
    </row>
    <row r="119" spans="1:6" x14ac:dyDescent="0.2">
      <c r="A119">
        <v>10004</v>
      </c>
      <c r="B119">
        <v>54480</v>
      </c>
      <c r="C119">
        <v>-91</v>
      </c>
      <c r="D119">
        <v>2.0499999999999998</v>
      </c>
      <c r="E119" t="s">
        <v>6</v>
      </c>
      <c r="F119" t="s">
        <v>47</v>
      </c>
    </row>
    <row r="120" spans="1:6" x14ac:dyDescent="0.2">
      <c r="A120">
        <v>10005</v>
      </c>
      <c r="B120">
        <v>54480</v>
      </c>
      <c r="C120">
        <v>-38</v>
      </c>
      <c r="D120">
        <v>0</v>
      </c>
      <c r="E120" t="s">
        <v>8</v>
      </c>
      <c r="F120" t="s">
        <v>48</v>
      </c>
    </row>
    <row r="121" spans="1:6" x14ac:dyDescent="0.2">
      <c r="A121">
        <v>10006</v>
      </c>
      <c r="B121">
        <v>54480</v>
      </c>
      <c r="C121">
        <v>-85</v>
      </c>
      <c r="D121">
        <v>1.07</v>
      </c>
      <c r="E121" t="s">
        <v>6</v>
      </c>
      <c r="F121" t="s">
        <v>48</v>
      </c>
    </row>
    <row r="122" spans="1:6" x14ac:dyDescent="0.2">
      <c r="A122">
        <v>10004</v>
      </c>
      <c r="B122">
        <v>54480</v>
      </c>
      <c r="C122">
        <v>-94</v>
      </c>
      <c r="D122">
        <v>2.11</v>
      </c>
      <c r="E122" t="s">
        <v>6</v>
      </c>
      <c r="F122" t="s">
        <v>48</v>
      </c>
    </row>
    <row r="123" spans="1:6" x14ac:dyDescent="0.2">
      <c r="A123">
        <v>10005</v>
      </c>
      <c r="B123">
        <v>54480</v>
      </c>
      <c r="C123">
        <v>-38</v>
      </c>
      <c r="D123">
        <v>0</v>
      </c>
      <c r="E123" t="s">
        <v>8</v>
      </c>
      <c r="F123" t="s">
        <v>49</v>
      </c>
    </row>
    <row r="124" spans="1:6" x14ac:dyDescent="0.2">
      <c r="A124">
        <v>10006</v>
      </c>
      <c r="B124">
        <v>54480</v>
      </c>
      <c r="C124">
        <v>-84</v>
      </c>
      <c r="D124">
        <v>1.03</v>
      </c>
      <c r="E124" t="s">
        <v>6</v>
      </c>
      <c r="F124" t="s">
        <v>49</v>
      </c>
    </row>
    <row r="125" spans="1:6" x14ac:dyDescent="0.2">
      <c r="A125">
        <v>10004</v>
      </c>
      <c r="B125">
        <v>54480</v>
      </c>
      <c r="C125">
        <v>-95</v>
      </c>
      <c r="D125">
        <v>2.19</v>
      </c>
      <c r="E125" t="s">
        <v>6</v>
      </c>
      <c r="F125" t="s">
        <v>49</v>
      </c>
    </row>
    <row r="126" spans="1:6" x14ac:dyDescent="0.2">
      <c r="A126">
        <v>10004</v>
      </c>
      <c r="B126">
        <v>54480</v>
      </c>
      <c r="C126">
        <v>0</v>
      </c>
      <c r="D126">
        <v>-1</v>
      </c>
      <c r="F126" t="s">
        <v>50</v>
      </c>
    </row>
    <row r="127" spans="1:6" x14ac:dyDescent="0.2">
      <c r="A127">
        <v>10006</v>
      </c>
      <c r="B127">
        <v>54480</v>
      </c>
      <c r="C127">
        <v>0</v>
      </c>
      <c r="D127">
        <v>-1</v>
      </c>
      <c r="F127" t="s">
        <v>50</v>
      </c>
    </row>
    <row r="128" spans="1:6" x14ac:dyDescent="0.2">
      <c r="A128">
        <v>10005</v>
      </c>
      <c r="B128">
        <v>54480</v>
      </c>
      <c r="C128">
        <v>-39</v>
      </c>
      <c r="D128">
        <v>0</v>
      </c>
      <c r="E128" t="s">
        <v>8</v>
      </c>
      <c r="F128" t="s">
        <v>50</v>
      </c>
    </row>
    <row r="129" spans="1:6" x14ac:dyDescent="0.2">
      <c r="A129">
        <v>10004</v>
      </c>
      <c r="B129">
        <v>54480</v>
      </c>
      <c r="C129">
        <v>0</v>
      </c>
      <c r="D129">
        <v>-1</v>
      </c>
      <c r="F129" t="s">
        <v>51</v>
      </c>
    </row>
    <row r="130" spans="1:6" x14ac:dyDescent="0.2">
      <c r="A130">
        <v>10005</v>
      </c>
      <c r="B130">
        <v>54480</v>
      </c>
      <c r="C130">
        <v>-39</v>
      </c>
      <c r="D130">
        <v>0</v>
      </c>
      <c r="E130" t="s">
        <v>8</v>
      </c>
      <c r="F130" t="s">
        <v>51</v>
      </c>
    </row>
    <row r="131" spans="1:6" x14ac:dyDescent="0.2">
      <c r="A131">
        <v>10006</v>
      </c>
      <c r="B131">
        <v>54480</v>
      </c>
      <c r="C131">
        <v>-91</v>
      </c>
      <c r="D131">
        <v>1.0900000000000001</v>
      </c>
      <c r="E131" t="s">
        <v>6</v>
      </c>
      <c r="F131" t="s">
        <v>51</v>
      </c>
    </row>
    <row r="132" spans="1:6" x14ac:dyDescent="0.2">
      <c r="A132">
        <v>10004</v>
      </c>
      <c r="B132">
        <v>54480</v>
      </c>
      <c r="C132">
        <v>0</v>
      </c>
      <c r="D132">
        <v>-1</v>
      </c>
      <c r="F132" t="s">
        <v>52</v>
      </c>
    </row>
    <row r="133" spans="1:6" x14ac:dyDescent="0.2">
      <c r="A133">
        <v>10005</v>
      </c>
      <c r="B133">
        <v>54480</v>
      </c>
      <c r="C133">
        <v>-38</v>
      </c>
      <c r="D133">
        <v>0</v>
      </c>
      <c r="E133" t="s">
        <v>8</v>
      </c>
      <c r="F133" t="s">
        <v>52</v>
      </c>
    </row>
    <row r="134" spans="1:6" x14ac:dyDescent="0.2">
      <c r="A134">
        <v>10006</v>
      </c>
      <c r="B134">
        <v>54480</v>
      </c>
      <c r="C134">
        <v>-93</v>
      </c>
      <c r="D134">
        <v>1.19</v>
      </c>
      <c r="E134" t="s">
        <v>6</v>
      </c>
      <c r="F134" t="s">
        <v>52</v>
      </c>
    </row>
    <row r="135" spans="1:6" x14ac:dyDescent="0.2">
      <c r="A135">
        <v>10004</v>
      </c>
      <c r="B135">
        <v>54480</v>
      </c>
      <c r="C135">
        <v>0</v>
      </c>
      <c r="D135">
        <v>-1</v>
      </c>
      <c r="F135" t="s">
        <v>53</v>
      </c>
    </row>
    <row r="136" spans="1:6" x14ac:dyDescent="0.2">
      <c r="A136">
        <v>10005</v>
      </c>
      <c r="B136">
        <v>54480</v>
      </c>
      <c r="C136">
        <v>-38</v>
      </c>
      <c r="D136">
        <v>0</v>
      </c>
      <c r="E136" t="s">
        <v>8</v>
      </c>
      <c r="F136" t="s">
        <v>53</v>
      </c>
    </row>
    <row r="137" spans="1:6" x14ac:dyDescent="0.2">
      <c r="A137">
        <v>10006</v>
      </c>
      <c r="B137">
        <v>54480</v>
      </c>
      <c r="C137">
        <v>-82</v>
      </c>
      <c r="D137">
        <v>1.04</v>
      </c>
      <c r="E137" t="s">
        <v>6</v>
      </c>
      <c r="F137" t="s">
        <v>53</v>
      </c>
    </row>
    <row r="138" spans="1:6" x14ac:dyDescent="0.2">
      <c r="A138">
        <v>10005</v>
      </c>
      <c r="B138">
        <v>54480</v>
      </c>
      <c r="C138">
        <v>-40</v>
      </c>
      <c r="D138">
        <v>0</v>
      </c>
      <c r="E138" t="s">
        <v>8</v>
      </c>
      <c r="F138" t="s">
        <v>54</v>
      </c>
    </row>
    <row r="139" spans="1:6" x14ac:dyDescent="0.2">
      <c r="A139">
        <v>10006</v>
      </c>
      <c r="B139">
        <v>54480</v>
      </c>
      <c r="C139">
        <v>-89</v>
      </c>
      <c r="D139">
        <v>1.08</v>
      </c>
      <c r="E139" t="s">
        <v>6</v>
      </c>
      <c r="F139" t="s">
        <v>54</v>
      </c>
    </row>
    <row r="140" spans="1:6" x14ac:dyDescent="0.2">
      <c r="A140">
        <v>10004</v>
      </c>
      <c r="B140">
        <v>54480</v>
      </c>
      <c r="C140">
        <v>-88</v>
      </c>
      <c r="D140">
        <v>2.04</v>
      </c>
      <c r="E140" t="s">
        <v>6</v>
      </c>
      <c r="F140" t="s">
        <v>54</v>
      </c>
    </row>
    <row r="141" spans="1:6" x14ac:dyDescent="0.2">
      <c r="A141">
        <v>10004</v>
      </c>
      <c r="B141">
        <v>54480</v>
      </c>
      <c r="C141">
        <v>0</v>
      </c>
      <c r="D141">
        <v>-1</v>
      </c>
      <c r="F141" t="s">
        <v>55</v>
      </c>
    </row>
    <row r="142" spans="1:6" x14ac:dyDescent="0.2">
      <c r="A142">
        <v>10005</v>
      </c>
      <c r="B142">
        <v>54480</v>
      </c>
      <c r="C142">
        <v>-40</v>
      </c>
      <c r="D142">
        <v>0</v>
      </c>
      <c r="E142" t="s">
        <v>8</v>
      </c>
      <c r="F142" t="s">
        <v>55</v>
      </c>
    </row>
    <row r="143" spans="1:6" x14ac:dyDescent="0.2">
      <c r="A143">
        <v>10006</v>
      </c>
      <c r="B143">
        <v>54480</v>
      </c>
      <c r="C143">
        <v>-80</v>
      </c>
      <c r="D143">
        <v>0.92</v>
      </c>
      <c r="E143" t="s">
        <v>6</v>
      </c>
      <c r="F143" t="s">
        <v>55</v>
      </c>
    </row>
    <row r="144" spans="1:6" x14ac:dyDescent="0.2">
      <c r="A144">
        <v>10006</v>
      </c>
      <c r="B144">
        <v>54480</v>
      </c>
      <c r="C144">
        <v>0</v>
      </c>
      <c r="D144">
        <v>-1</v>
      </c>
      <c r="F144" t="s">
        <v>56</v>
      </c>
    </row>
    <row r="145" spans="1:6" x14ac:dyDescent="0.2">
      <c r="A145">
        <v>10005</v>
      </c>
      <c r="B145">
        <v>54480</v>
      </c>
      <c r="C145">
        <v>-38</v>
      </c>
      <c r="D145">
        <v>0</v>
      </c>
      <c r="E145" t="s">
        <v>8</v>
      </c>
      <c r="F145" t="s">
        <v>56</v>
      </c>
    </row>
    <row r="146" spans="1:6" x14ac:dyDescent="0.2">
      <c r="A146">
        <v>10004</v>
      </c>
      <c r="B146">
        <v>54480</v>
      </c>
      <c r="C146">
        <v>-93</v>
      </c>
      <c r="D146">
        <v>2.13</v>
      </c>
      <c r="E146" t="s">
        <v>6</v>
      </c>
      <c r="F146" t="s">
        <v>56</v>
      </c>
    </row>
    <row r="147" spans="1:6" x14ac:dyDescent="0.2">
      <c r="A147">
        <v>10004</v>
      </c>
      <c r="B147">
        <v>54480</v>
      </c>
      <c r="C147">
        <v>0</v>
      </c>
      <c r="D147">
        <v>-1</v>
      </c>
      <c r="F147" t="s">
        <v>57</v>
      </c>
    </row>
    <row r="148" spans="1:6" x14ac:dyDescent="0.2">
      <c r="A148">
        <v>10006</v>
      </c>
      <c r="B148">
        <v>54480</v>
      </c>
      <c r="C148">
        <v>0</v>
      </c>
      <c r="D148">
        <v>-1</v>
      </c>
      <c r="F148" t="s">
        <v>57</v>
      </c>
    </row>
    <row r="149" spans="1:6" x14ac:dyDescent="0.2">
      <c r="A149">
        <v>10005</v>
      </c>
      <c r="B149">
        <v>54480</v>
      </c>
      <c r="C149">
        <v>-38</v>
      </c>
      <c r="D149">
        <v>0</v>
      </c>
      <c r="E149" t="s">
        <v>8</v>
      </c>
      <c r="F149" t="s">
        <v>57</v>
      </c>
    </row>
    <row r="150" spans="1:6" x14ac:dyDescent="0.2">
      <c r="A150">
        <v>10006</v>
      </c>
      <c r="B150">
        <v>54480</v>
      </c>
      <c r="C150">
        <v>0</v>
      </c>
      <c r="D150">
        <v>-1</v>
      </c>
      <c r="F150" t="s">
        <v>58</v>
      </c>
    </row>
    <row r="151" spans="1:6" x14ac:dyDescent="0.2">
      <c r="A151">
        <v>10005</v>
      </c>
      <c r="B151">
        <v>54480</v>
      </c>
      <c r="C151">
        <v>-38</v>
      </c>
      <c r="D151">
        <v>0</v>
      </c>
      <c r="E151" t="s">
        <v>8</v>
      </c>
      <c r="F151" t="s">
        <v>58</v>
      </c>
    </row>
    <row r="152" spans="1:6" x14ac:dyDescent="0.2">
      <c r="A152">
        <v>10004</v>
      </c>
      <c r="B152">
        <v>54480</v>
      </c>
      <c r="C152">
        <v>-89</v>
      </c>
      <c r="D152">
        <v>1.94</v>
      </c>
      <c r="E152" t="s">
        <v>6</v>
      </c>
      <c r="F152" t="s">
        <v>58</v>
      </c>
    </row>
    <row r="153" spans="1:6" x14ac:dyDescent="0.2">
      <c r="A153">
        <v>10005</v>
      </c>
      <c r="B153">
        <v>54480</v>
      </c>
      <c r="C153">
        <v>-38</v>
      </c>
      <c r="D153">
        <v>0</v>
      </c>
      <c r="E153" t="s">
        <v>8</v>
      </c>
      <c r="F153" t="s">
        <v>59</v>
      </c>
    </row>
    <row r="154" spans="1:6" x14ac:dyDescent="0.2">
      <c r="A154">
        <v>10006</v>
      </c>
      <c r="B154">
        <v>54480</v>
      </c>
      <c r="C154">
        <v>-87</v>
      </c>
      <c r="D154">
        <v>0.94</v>
      </c>
      <c r="E154" t="s">
        <v>6</v>
      </c>
      <c r="F154" t="s">
        <v>59</v>
      </c>
    </row>
    <row r="155" spans="1:6" x14ac:dyDescent="0.2">
      <c r="A155">
        <v>10004</v>
      </c>
      <c r="B155">
        <v>54480</v>
      </c>
      <c r="C155">
        <v>-89</v>
      </c>
      <c r="D155">
        <v>1.82</v>
      </c>
      <c r="E155" t="s">
        <v>6</v>
      </c>
      <c r="F155" t="s">
        <v>59</v>
      </c>
    </row>
    <row r="156" spans="1:6" x14ac:dyDescent="0.2">
      <c r="A156">
        <v>10004</v>
      </c>
      <c r="B156">
        <v>54480</v>
      </c>
      <c r="C156">
        <v>0</v>
      </c>
      <c r="D156">
        <v>-1</v>
      </c>
      <c r="F156" t="s">
        <v>60</v>
      </c>
    </row>
    <row r="157" spans="1:6" x14ac:dyDescent="0.2">
      <c r="A157">
        <v>10005</v>
      </c>
      <c r="B157">
        <v>54480</v>
      </c>
      <c r="C157">
        <v>-40</v>
      </c>
      <c r="D157">
        <v>0</v>
      </c>
      <c r="E157" t="s">
        <v>8</v>
      </c>
      <c r="F157" t="s">
        <v>60</v>
      </c>
    </row>
    <row r="158" spans="1:6" x14ac:dyDescent="0.2">
      <c r="A158">
        <v>10006</v>
      </c>
      <c r="B158">
        <v>54480</v>
      </c>
      <c r="C158">
        <v>-87</v>
      </c>
      <c r="D158">
        <v>0.99</v>
      </c>
      <c r="E158" t="s">
        <v>6</v>
      </c>
      <c r="F158" t="s">
        <v>60</v>
      </c>
    </row>
    <row r="159" spans="1:6" x14ac:dyDescent="0.2">
      <c r="A159">
        <v>10004</v>
      </c>
      <c r="B159">
        <v>54480</v>
      </c>
      <c r="C159">
        <v>0</v>
      </c>
      <c r="D159">
        <v>-1</v>
      </c>
      <c r="F159" t="s">
        <v>61</v>
      </c>
    </row>
    <row r="160" spans="1:6" x14ac:dyDescent="0.2">
      <c r="A160">
        <v>10005</v>
      </c>
      <c r="B160">
        <v>54480</v>
      </c>
      <c r="C160">
        <v>-38</v>
      </c>
      <c r="D160">
        <v>0</v>
      </c>
      <c r="E160" t="s">
        <v>8</v>
      </c>
      <c r="F160" t="s">
        <v>61</v>
      </c>
    </row>
    <row r="161" spans="1:6" x14ac:dyDescent="0.2">
      <c r="A161">
        <v>10006</v>
      </c>
      <c r="B161">
        <v>54480</v>
      </c>
      <c r="C161">
        <v>-91</v>
      </c>
      <c r="D161">
        <v>1.1200000000000001</v>
      </c>
      <c r="E161" t="s">
        <v>6</v>
      </c>
      <c r="F161" t="s">
        <v>61</v>
      </c>
    </row>
    <row r="162" spans="1:6" x14ac:dyDescent="0.2">
      <c r="A162">
        <v>10005</v>
      </c>
      <c r="B162">
        <v>54480</v>
      </c>
      <c r="C162">
        <v>-40</v>
      </c>
      <c r="D162">
        <v>0</v>
      </c>
      <c r="E162" t="s">
        <v>8</v>
      </c>
      <c r="F162" t="s">
        <v>62</v>
      </c>
    </row>
    <row r="163" spans="1:6" x14ac:dyDescent="0.2">
      <c r="A163">
        <v>10006</v>
      </c>
      <c r="B163">
        <v>54480</v>
      </c>
      <c r="C163">
        <v>-91</v>
      </c>
      <c r="D163">
        <v>1.23</v>
      </c>
      <c r="E163" t="s">
        <v>6</v>
      </c>
      <c r="F163" t="s">
        <v>62</v>
      </c>
    </row>
    <row r="164" spans="1:6" x14ac:dyDescent="0.2">
      <c r="A164">
        <v>10004</v>
      </c>
      <c r="B164">
        <v>54480</v>
      </c>
      <c r="C164">
        <v>-91</v>
      </c>
      <c r="D164">
        <v>1.83</v>
      </c>
      <c r="E164" t="s">
        <v>6</v>
      </c>
      <c r="F164" t="s">
        <v>62</v>
      </c>
    </row>
    <row r="165" spans="1:6" x14ac:dyDescent="0.2">
      <c r="A165">
        <v>10005</v>
      </c>
      <c r="B165">
        <v>54480</v>
      </c>
      <c r="C165">
        <v>-36</v>
      </c>
      <c r="D165">
        <v>0</v>
      </c>
      <c r="E165" t="s">
        <v>8</v>
      </c>
      <c r="F165" t="s">
        <v>63</v>
      </c>
    </row>
    <row r="166" spans="1:6" x14ac:dyDescent="0.2">
      <c r="A166">
        <v>10006</v>
      </c>
      <c r="B166">
        <v>54480</v>
      </c>
      <c r="C166">
        <v>-91</v>
      </c>
      <c r="D166">
        <v>1.31</v>
      </c>
      <c r="E166" t="s">
        <v>6</v>
      </c>
      <c r="F166" t="s">
        <v>63</v>
      </c>
    </row>
    <row r="167" spans="1:6" x14ac:dyDescent="0.2">
      <c r="A167">
        <v>10004</v>
      </c>
      <c r="B167">
        <v>54480</v>
      </c>
      <c r="C167">
        <v>-91</v>
      </c>
      <c r="D167">
        <v>1.85</v>
      </c>
      <c r="E167" t="s">
        <v>6</v>
      </c>
      <c r="F167" t="s">
        <v>63</v>
      </c>
    </row>
    <row r="168" spans="1:6" x14ac:dyDescent="0.2">
      <c r="A168">
        <v>10005</v>
      </c>
      <c r="B168">
        <v>54480</v>
      </c>
      <c r="C168">
        <v>-40</v>
      </c>
      <c r="D168">
        <v>0</v>
      </c>
      <c r="E168" t="s">
        <v>8</v>
      </c>
      <c r="F168" t="s">
        <v>64</v>
      </c>
    </row>
    <row r="169" spans="1:6" x14ac:dyDescent="0.2">
      <c r="A169">
        <v>10006</v>
      </c>
      <c r="B169">
        <v>54480</v>
      </c>
      <c r="C169">
        <v>-86</v>
      </c>
      <c r="D169">
        <v>1.25</v>
      </c>
      <c r="E169" t="s">
        <v>6</v>
      </c>
      <c r="F169" t="s">
        <v>64</v>
      </c>
    </row>
    <row r="170" spans="1:6" x14ac:dyDescent="0.2">
      <c r="A170">
        <v>10004</v>
      </c>
      <c r="B170">
        <v>54480</v>
      </c>
      <c r="C170">
        <v>-91</v>
      </c>
      <c r="D170">
        <v>1.85</v>
      </c>
      <c r="E170" t="s">
        <v>6</v>
      </c>
      <c r="F170" t="s">
        <v>64</v>
      </c>
    </row>
    <row r="171" spans="1:6" x14ac:dyDescent="0.2">
      <c r="A171">
        <v>10005</v>
      </c>
      <c r="B171">
        <v>54480</v>
      </c>
      <c r="C171">
        <v>-37</v>
      </c>
      <c r="D171">
        <v>0</v>
      </c>
      <c r="E171" t="s">
        <v>8</v>
      </c>
      <c r="F171" t="s">
        <v>65</v>
      </c>
    </row>
    <row r="172" spans="1:6" x14ac:dyDescent="0.2">
      <c r="A172">
        <v>10006</v>
      </c>
      <c r="B172">
        <v>54480</v>
      </c>
      <c r="C172">
        <v>-83</v>
      </c>
      <c r="D172">
        <v>1.1100000000000001</v>
      </c>
      <c r="E172" t="s">
        <v>6</v>
      </c>
      <c r="F172" t="s">
        <v>65</v>
      </c>
    </row>
    <row r="173" spans="1:6" x14ac:dyDescent="0.2">
      <c r="A173">
        <v>10004</v>
      </c>
      <c r="B173">
        <v>54480</v>
      </c>
      <c r="C173">
        <v>-91</v>
      </c>
      <c r="D173">
        <v>1.86</v>
      </c>
      <c r="E173" t="s">
        <v>6</v>
      </c>
      <c r="F173" t="s">
        <v>65</v>
      </c>
    </row>
    <row r="174" spans="1:6" x14ac:dyDescent="0.2">
      <c r="A174">
        <v>10005</v>
      </c>
      <c r="B174">
        <v>54480</v>
      </c>
      <c r="C174">
        <v>-41</v>
      </c>
      <c r="D174">
        <v>0</v>
      </c>
      <c r="E174" t="s">
        <v>8</v>
      </c>
      <c r="F174" t="s">
        <v>66</v>
      </c>
    </row>
    <row r="175" spans="1:6" x14ac:dyDescent="0.2">
      <c r="A175">
        <v>10006</v>
      </c>
      <c r="B175">
        <v>54480</v>
      </c>
      <c r="C175">
        <v>-84</v>
      </c>
      <c r="D175">
        <v>1.04</v>
      </c>
      <c r="E175" t="s">
        <v>6</v>
      </c>
      <c r="F175" t="s">
        <v>66</v>
      </c>
    </row>
    <row r="176" spans="1:6" x14ac:dyDescent="0.2">
      <c r="A176">
        <v>10004</v>
      </c>
      <c r="B176">
        <v>54480</v>
      </c>
      <c r="C176">
        <v>-90</v>
      </c>
      <c r="D176">
        <v>1.83</v>
      </c>
      <c r="E176" t="s">
        <v>6</v>
      </c>
      <c r="F176" t="s">
        <v>66</v>
      </c>
    </row>
    <row r="177" spans="1:6" x14ac:dyDescent="0.2">
      <c r="A177">
        <v>10005</v>
      </c>
      <c r="B177">
        <v>54480</v>
      </c>
      <c r="C177">
        <v>-38</v>
      </c>
      <c r="D177">
        <v>0</v>
      </c>
      <c r="E177" t="s">
        <v>8</v>
      </c>
      <c r="F177" t="s">
        <v>67</v>
      </c>
    </row>
    <row r="178" spans="1:6" x14ac:dyDescent="0.2">
      <c r="A178">
        <v>10006</v>
      </c>
      <c r="B178">
        <v>54480</v>
      </c>
      <c r="C178">
        <v>-88</v>
      </c>
      <c r="D178">
        <v>1.07</v>
      </c>
      <c r="E178" t="s">
        <v>6</v>
      </c>
      <c r="F178" t="s">
        <v>67</v>
      </c>
    </row>
    <row r="179" spans="1:6" x14ac:dyDescent="0.2">
      <c r="A179">
        <v>10004</v>
      </c>
      <c r="B179">
        <v>54480</v>
      </c>
      <c r="C179">
        <v>-90</v>
      </c>
      <c r="D179">
        <v>1.81</v>
      </c>
      <c r="E179" t="s">
        <v>6</v>
      </c>
      <c r="F179" t="s">
        <v>67</v>
      </c>
    </row>
  </sheetData>
  <autoFilter ref="A1:F179" xr:uid="{00000000-0009-0000-0000-000001000000}"/>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78"/>
  <sheetViews>
    <sheetView topLeftCell="A12" workbookViewId="0">
      <selection activeCell="AA41" sqref="AA41"/>
    </sheetView>
  </sheetViews>
  <sheetFormatPr baseColWidth="10" defaultRowHeight="16" x14ac:dyDescent="0.2"/>
  <cols>
    <col min="1" max="2" width="6.1640625" bestFit="1" customWidth="1"/>
    <col min="3" max="3" width="4" bestFit="1" customWidth="1"/>
    <col min="4" max="4" width="8.1640625" bestFit="1" customWidth="1"/>
    <col min="6" max="6" width="17.83203125" bestFit="1" customWidth="1"/>
  </cols>
  <sheetData>
    <row r="1" spans="1:14" x14ac:dyDescent="0.2">
      <c r="A1" t="s">
        <v>0</v>
      </c>
      <c r="B1" t="s">
        <v>1</v>
      </c>
      <c r="C1" t="s">
        <v>2</v>
      </c>
      <c r="D1" t="s">
        <v>3</v>
      </c>
      <c r="E1" t="s">
        <v>4</v>
      </c>
      <c r="F1" t="s">
        <v>5</v>
      </c>
      <c r="J1" t="s">
        <v>189</v>
      </c>
      <c r="K1">
        <v>10004</v>
      </c>
      <c r="L1">
        <v>10005</v>
      </c>
      <c r="M1">
        <v>10006</v>
      </c>
      <c r="N1" t="s">
        <v>190</v>
      </c>
    </row>
    <row r="2" spans="1:14" x14ac:dyDescent="0.2">
      <c r="A2">
        <v>10006</v>
      </c>
      <c r="B2">
        <v>54480</v>
      </c>
      <c r="C2">
        <v>-47</v>
      </c>
      <c r="D2">
        <v>0.01</v>
      </c>
      <c r="E2" t="s">
        <v>8</v>
      </c>
      <c r="F2" t="s">
        <v>129</v>
      </c>
      <c r="K2" t="s">
        <v>2</v>
      </c>
      <c r="L2" t="s">
        <v>2</v>
      </c>
      <c r="M2" t="s">
        <v>2</v>
      </c>
    </row>
    <row r="3" spans="1:14" x14ac:dyDescent="0.2">
      <c r="A3">
        <v>10005</v>
      </c>
      <c r="B3">
        <v>54480</v>
      </c>
      <c r="C3">
        <v>-88</v>
      </c>
      <c r="D3">
        <v>1.29</v>
      </c>
      <c r="E3" t="s">
        <v>8</v>
      </c>
      <c r="F3" t="s">
        <v>129</v>
      </c>
      <c r="J3">
        <v>1</v>
      </c>
      <c r="K3">
        <v>-95</v>
      </c>
      <c r="L3">
        <v>-88</v>
      </c>
      <c r="M3">
        <v>-47</v>
      </c>
      <c r="N3">
        <f>(M3-L3)</f>
        <v>41</v>
      </c>
    </row>
    <row r="4" spans="1:14" x14ac:dyDescent="0.2">
      <c r="A4">
        <v>10006</v>
      </c>
      <c r="B4">
        <v>54480</v>
      </c>
      <c r="C4">
        <v>-46</v>
      </c>
      <c r="D4">
        <v>0.01</v>
      </c>
      <c r="E4" t="s">
        <v>8</v>
      </c>
      <c r="F4" t="s">
        <v>130</v>
      </c>
      <c r="J4">
        <v>2</v>
      </c>
      <c r="K4">
        <v>-92</v>
      </c>
      <c r="L4">
        <v>-88</v>
      </c>
      <c r="M4">
        <v>-46</v>
      </c>
      <c r="N4">
        <f t="shared" ref="N4:N62" si="0">(M4-L4)</f>
        <v>42</v>
      </c>
    </row>
    <row r="5" spans="1:14" x14ac:dyDescent="0.2">
      <c r="A5">
        <v>10005</v>
      </c>
      <c r="B5">
        <v>54480</v>
      </c>
      <c r="C5">
        <v>-88</v>
      </c>
      <c r="D5">
        <v>1.29</v>
      </c>
      <c r="E5" t="s">
        <v>6</v>
      </c>
      <c r="F5" t="s">
        <v>130</v>
      </c>
      <c r="J5">
        <v>3</v>
      </c>
      <c r="K5">
        <v>-90</v>
      </c>
      <c r="L5">
        <v>-88</v>
      </c>
      <c r="M5">
        <v>-46</v>
      </c>
      <c r="N5">
        <f t="shared" si="0"/>
        <v>42</v>
      </c>
    </row>
    <row r="6" spans="1:14" x14ac:dyDescent="0.2">
      <c r="A6">
        <v>10006</v>
      </c>
      <c r="B6">
        <v>54480</v>
      </c>
      <c r="C6">
        <v>-46</v>
      </c>
      <c r="D6">
        <v>0.01</v>
      </c>
      <c r="E6" t="s">
        <v>8</v>
      </c>
      <c r="F6" t="s">
        <v>131</v>
      </c>
      <c r="J6">
        <v>4</v>
      </c>
      <c r="K6">
        <v>-92</v>
      </c>
      <c r="L6">
        <v>-81</v>
      </c>
      <c r="M6">
        <v>-46</v>
      </c>
      <c r="N6">
        <f t="shared" si="0"/>
        <v>35</v>
      </c>
    </row>
    <row r="7" spans="1:14" x14ac:dyDescent="0.2">
      <c r="A7">
        <v>10005</v>
      </c>
      <c r="B7">
        <v>54480</v>
      </c>
      <c r="C7">
        <v>-88</v>
      </c>
      <c r="D7">
        <v>1.29</v>
      </c>
      <c r="E7" t="s">
        <v>6</v>
      </c>
      <c r="F7" t="s">
        <v>131</v>
      </c>
      <c r="J7">
        <v>5</v>
      </c>
      <c r="K7">
        <v>-92</v>
      </c>
      <c r="M7">
        <v>-44</v>
      </c>
    </row>
    <row r="8" spans="1:14" x14ac:dyDescent="0.2">
      <c r="A8">
        <v>10006</v>
      </c>
      <c r="B8">
        <v>54480</v>
      </c>
      <c r="C8">
        <v>-46</v>
      </c>
      <c r="D8">
        <v>0.01</v>
      </c>
      <c r="E8" t="s">
        <v>8</v>
      </c>
      <c r="F8" t="s">
        <v>132</v>
      </c>
      <c r="J8">
        <v>6</v>
      </c>
      <c r="K8">
        <v>-93</v>
      </c>
      <c r="M8">
        <v>-45</v>
      </c>
    </row>
    <row r="9" spans="1:14" x14ac:dyDescent="0.2">
      <c r="A9">
        <v>10005</v>
      </c>
      <c r="B9">
        <v>54480</v>
      </c>
      <c r="C9">
        <v>-81</v>
      </c>
      <c r="D9">
        <v>0.82</v>
      </c>
      <c r="E9" t="s">
        <v>6</v>
      </c>
      <c r="F9" t="s">
        <v>132</v>
      </c>
      <c r="J9">
        <v>7</v>
      </c>
      <c r="K9">
        <v>-94</v>
      </c>
      <c r="L9">
        <v>-85</v>
      </c>
      <c r="M9">
        <v>-46</v>
      </c>
      <c r="N9">
        <f t="shared" si="0"/>
        <v>39</v>
      </c>
    </row>
    <row r="10" spans="1:14" x14ac:dyDescent="0.2">
      <c r="A10">
        <v>10004</v>
      </c>
      <c r="B10">
        <v>54480</v>
      </c>
      <c r="C10">
        <v>-95</v>
      </c>
      <c r="D10">
        <v>3.16</v>
      </c>
      <c r="E10" t="s">
        <v>72</v>
      </c>
      <c r="F10" t="s">
        <v>132</v>
      </c>
      <c r="J10">
        <v>8</v>
      </c>
      <c r="K10">
        <v>-95</v>
      </c>
      <c r="L10">
        <v>-80</v>
      </c>
      <c r="M10">
        <v>-46</v>
      </c>
      <c r="N10">
        <f t="shared" si="0"/>
        <v>34</v>
      </c>
    </row>
    <row r="11" spans="1:14" x14ac:dyDescent="0.2">
      <c r="A11">
        <v>10005</v>
      </c>
      <c r="B11">
        <v>54480</v>
      </c>
      <c r="C11">
        <v>0</v>
      </c>
      <c r="D11">
        <v>-1</v>
      </c>
      <c r="F11" t="s">
        <v>133</v>
      </c>
      <c r="J11">
        <v>9</v>
      </c>
      <c r="L11">
        <v>-83</v>
      </c>
      <c r="M11">
        <v>-46</v>
      </c>
      <c r="N11">
        <f t="shared" si="0"/>
        <v>37</v>
      </c>
    </row>
    <row r="12" spans="1:14" x14ac:dyDescent="0.2">
      <c r="A12">
        <v>10006</v>
      </c>
      <c r="B12">
        <v>54480</v>
      </c>
      <c r="C12">
        <v>-44</v>
      </c>
      <c r="D12">
        <v>0</v>
      </c>
      <c r="E12" t="s">
        <v>8</v>
      </c>
      <c r="F12" t="s">
        <v>133</v>
      </c>
      <c r="J12">
        <v>10</v>
      </c>
      <c r="K12">
        <v>-95</v>
      </c>
      <c r="L12">
        <v>-83</v>
      </c>
      <c r="M12">
        <v>-45</v>
      </c>
      <c r="N12">
        <f t="shared" si="0"/>
        <v>38</v>
      </c>
    </row>
    <row r="13" spans="1:14" x14ac:dyDescent="0.2">
      <c r="A13">
        <v>10004</v>
      </c>
      <c r="B13">
        <v>54480</v>
      </c>
      <c r="C13">
        <v>-92</v>
      </c>
      <c r="D13">
        <v>2.33</v>
      </c>
      <c r="E13" t="s">
        <v>72</v>
      </c>
      <c r="F13" t="s">
        <v>133</v>
      </c>
      <c r="J13">
        <v>11</v>
      </c>
      <c r="L13">
        <v>-82</v>
      </c>
      <c r="M13">
        <v>-45</v>
      </c>
      <c r="N13">
        <f t="shared" si="0"/>
        <v>37</v>
      </c>
    </row>
    <row r="14" spans="1:14" x14ac:dyDescent="0.2">
      <c r="A14">
        <v>10005</v>
      </c>
      <c r="B14">
        <v>54480</v>
      </c>
      <c r="C14">
        <v>0</v>
      </c>
      <c r="D14">
        <v>-1</v>
      </c>
      <c r="F14" t="s">
        <v>134</v>
      </c>
      <c r="J14">
        <v>12</v>
      </c>
      <c r="K14">
        <v>-96</v>
      </c>
      <c r="L14">
        <v>-82</v>
      </c>
      <c r="M14">
        <v>-45</v>
      </c>
      <c r="N14">
        <f t="shared" si="0"/>
        <v>37</v>
      </c>
    </row>
    <row r="15" spans="1:14" x14ac:dyDescent="0.2">
      <c r="A15">
        <v>10006</v>
      </c>
      <c r="B15">
        <v>54480</v>
      </c>
      <c r="C15">
        <v>-45</v>
      </c>
      <c r="D15">
        <v>0.01</v>
      </c>
      <c r="E15" t="s">
        <v>8</v>
      </c>
      <c r="F15" t="s">
        <v>134</v>
      </c>
      <c r="J15">
        <v>13</v>
      </c>
      <c r="K15">
        <v>-90</v>
      </c>
      <c r="L15">
        <v>-82</v>
      </c>
      <c r="M15">
        <v>-45</v>
      </c>
      <c r="N15">
        <f t="shared" si="0"/>
        <v>37</v>
      </c>
    </row>
    <row r="16" spans="1:14" x14ac:dyDescent="0.2">
      <c r="A16">
        <v>10004</v>
      </c>
      <c r="B16">
        <v>54480</v>
      </c>
      <c r="C16">
        <v>-90</v>
      </c>
      <c r="D16">
        <v>1.97</v>
      </c>
      <c r="E16" t="s">
        <v>6</v>
      </c>
      <c r="F16" t="s">
        <v>134</v>
      </c>
      <c r="J16">
        <v>14</v>
      </c>
      <c r="L16">
        <v>-82</v>
      </c>
      <c r="M16">
        <v>-45</v>
      </c>
      <c r="N16">
        <f t="shared" si="0"/>
        <v>37</v>
      </c>
    </row>
    <row r="17" spans="1:14" x14ac:dyDescent="0.2">
      <c r="A17">
        <v>10006</v>
      </c>
      <c r="B17">
        <v>54480</v>
      </c>
      <c r="C17">
        <v>-46</v>
      </c>
      <c r="D17">
        <v>0.01</v>
      </c>
      <c r="E17" t="s">
        <v>8</v>
      </c>
      <c r="F17" t="s">
        <v>135</v>
      </c>
      <c r="J17">
        <v>15</v>
      </c>
      <c r="K17">
        <v>-92</v>
      </c>
      <c r="L17">
        <v>-82</v>
      </c>
      <c r="M17">
        <v>-45</v>
      </c>
      <c r="N17">
        <f t="shared" si="0"/>
        <v>37</v>
      </c>
    </row>
    <row r="18" spans="1:14" x14ac:dyDescent="0.2">
      <c r="A18">
        <v>10005</v>
      </c>
      <c r="B18">
        <v>54480</v>
      </c>
      <c r="C18">
        <v>-85</v>
      </c>
      <c r="D18">
        <v>0.84</v>
      </c>
      <c r="E18" t="s">
        <v>6</v>
      </c>
      <c r="F18" t="s">
        <v>135</v>
      </c>
      <c r="J18">
        <v>16</v>
      </c>
      <c r="L18">
        <v>-82</v>
      </c>
      <c r="M18">
        <v>-46</v>
      </c>
      <c r="N18">
        <f t="shared" si="0"/>
        <v>36</v>
      </c>
    </row>
    <row r="19" spans="1:14" x14ac:dyDescent="0.2">
      <c r="A19">
        <v>10004</v>
      </c>
      <c r="B19">
        <v>54480</v>
      </c>
      <c r="C19">
        <v>-92</v>
      </c>
      <c r="D19">
        <v>2.0299999999999998</v>
      </c>
      <c r="E19" t="s">
        <v>6</v>
      </c>
      <c r="F19" t="s">
        <v>135</v>
      </c>
      <c r="J19">
        <v>17</v>
      </c>
      <c r="K19">
        <v>-91</v>
      </c>
      <c r="L19">
        <v>-82</v>
      </c>
      <c r="M19">
        <v>-45</v>
      </c>
      <c r="N19">
        <f t="shared" si="0"/>
        <v>37</v>
      </c>
    </row>
    <row r="20" spans="1:14" x14ac:dyDescent="0.2">
      <c r="A20">
        <v>10006</v>
      </c>
      <c r="B20">
        <v>54480</v>
      </c>
      <c r="C20">
        <v>-46</v>
      </c>
      <c r="D20">
        <v>0.01</v>
      </c>
      <c r="E20" t="s">
        <v>8</v>
      </c>
      <c r="F20" t="s">
        <v>136</v>
      </c>
      <c r="J20">
        <v>18</v>
      </c>
      <c r="L20">
        <v>-81</v>
      </c>
      <c r="M20">
        <v>-46</v>
      </c>
      <c r="N20">
        <f t="shared" si="0"/>
        <v>35</v>
      </c>
    </row>
    <row r="21" spans="1:14" x14ac:dyDescent="0.2">
      <c r="A21">
        <v>10005</v>
      </c>
      <c r="B21">
        <v>54480</v>
      </c>
      <c r="C21">
        <v>-80</v>
      </c>
      <c r="D21">
        <v>0.62</v>
      </c>
      <c r="E21" t="s">
        <v>6</v>
      </c>
      <c r="F21" t="s">
        <v>136</v>
      </c>
      <c r="J21">
        <v>19</v>
      </c>
      <c r="L21">
        <v>-81</v>
      </c>
      <c r="M21">
        <v>-46</v>
      </c>
      <c r="N21">
        <f t="shared" si="0"/>
        <v>35</v>
      </c>
    </row>
    <row r="22" spans="1:14" x14ac:dyDescent="0.2">
      <c r="A22">
        <v>10004</v>
      </c>
      <c r="B22">
        <v>54480</v>
      </c>
      <c r="C22">
        <v>-92</v>
      </c>
      <c r="D22">
        <v>2.0699999999999998</v>
      </c>
      <c r="E22" t="s">
        <v>6</v>
      </c>
      <c r="F22" t="s">
        <v>136</v>
      </c>
      <c r="J22">
        <v>20</v>
      </c>
      <c r="L22">
        <v>-81</v>
      </c>
      <c r="M22">
        <v>-46</v>
      </c>
      <c r="N22">
        <f t="shared" si="0"/>
        <v>35</v>
      </c>
    </row>
    <row r="23" spans="1:14" x14ac:dyDescent="0.2">
      <c r="A23">
        <v>10006</v>
      </c>
      <c r="B23">
        <v>54480</v>
      </c>
      <c r="C23">
        <v>-46</v>
      </c>
      <c r="D23">
        <v>0.01</v>
      </c>
      <c r="E23" t="s">
        <v>8</v>
      </c>
      <c r="F23" t="s">
        <v>137</v>
      </c>
      <c r="J23">
        <v>21</v>
      </c>
      <c r="L23">
        <v>-81</v>
      </c>
      <c r="M23">
        <v>-46</v>
      </c>
      <c r="N23">
        <f t="shared" si="0"/>
        <v>35</v>
      </c>
    </row>
    <row r="24" spans="1:14" x14ac:dyDescent="0.2">
      <c r="A24">
        <v>10005</v>
      </c>
      <c r="B24">
        <v>54480</v>
      </c>
      <c r="C24">
        <v>-83</v>
      </c>
      <c r="D24">
        <v>0.64</v>
      </c>
      <c r="E24" t="s">
        <v>6</v>
      </c>
      <c r="F24" t="s">
        <v>137</v>
      </c>
      <c r="J24">
        <v>22</v>
      </c>
      <c r="K24">
        <v>-91</v>
      </c>
      <c r="L24">
        <v>-81</v>
      </c>
      <c r="M24">
        <v>-46</v>
      </c>
      <c r="N24">
        <f t="shared" si="0"/>
        <v>35</v>
      </c>
    </row>
    <row r="25" spans="1:14" x14ac:dyDescent="0.2">
      <c r="A25">
        <v>10004</v>
      </c>
      <c r="B25">
        <v>54480</v>
      </c>
      <c r="C25">
        <v>-93</v>
      </c>
      <c r="D25">
        <v>2.16</v>
      </c>
      <c r="E25" t="s">
        <v>6</v>
      </c>
      <c r="F25" t="s">
        <v>137</v>
      </c>
      <c r="J25">
        <v>23</v>
      </c>
      <c r="K25">
        <v>-91</v>
      </c>
      <c r="L25">
        <v>-82</v>
      </c>
    </row>
    <row r="26" spans="1:14" x14ac:dyDescent="0.2">
      <c r="A26">
        <v>10006</v>
      </c>
      <c r="B26">
        <v>54480</v>
      </c>
      <c r="C26">
        <v>-45</v>
      </c>
      <c r="D26">
        <v>0.01</v>
      </c>
      <c r="E26" t="s">
        <v>8</v>
      </c>
      <c r="F26" t="s">
        <v>138</v>
      </c>
      <c r="J26">
        <v>24</v>
      </c>
      <c r="K26">
        <v>-90</v>
      </c>
      <c r="L26">
        <v>-82</v>
      </c>
      <c r="M26">
        <v>-46</v>
      </c>
      <c r="N26">
        <f t="shared" si="0"/>
        <v>36</v>
      </c>
    </row>
    <row r="27" spans="1:14" x14ac:dyDescent="0.2">
      <c r="A27">
        <v>10005</v>
      </c>
      <c r="B27">
        <v>54480</v>
      </c>
      <c r="C27">
        <v>-83</v>
      </c>
      <c r="D27">
        <v>0.65</v>
      </c>
      <c r="E27" t="s">
        <v>6</v>
      </c>
      <c r="F27" t="s">
        <v>138</v>
      </c>
      <c r="J27">
        <v>25</v>
      </c>
      <c r="K27">
        <v>-91</v>
      </c>
      <c r="L27">
        <v>-81</v>
      </c>
      <c r="M27">
        <v>-46</v>
      </c>
      <c r="N27">
        <f t="shared" si="0"/>
        <v>35</v>
      </c>
    </row>
    <row r="28" spans="1:14" x14ac:dyDescent="0.2">
      <c r="A28">
        <v>10004</v>
      </c>
      <c r="B28">
        <v>54480</v>
      </c>
      <c r="C28">
        <v>-94</v>
      </c>
      <c r="D28">
        <v>2.27</v>
      </c>
      <c r="E28" t="s">
        <v>6</v>
      </c>
      <c r="F28" t="s">
        <v>138</v>
      </c>
      <c r="J28">
        <v>26</v>
      </c>
      <c r="K28">
        <v>-93</v>
      </c>
      <c r="L28">
        <v>-81</v>
      </c>
      <c r="M28">
        <v>-45</v>
      </c>
      <c r="N28">
        <f t="shared" si="0"/>
        <v>36</v>
      </c>
    </row>
    <row r="29" spans="1:14" x14ac:dyDescent="0.2">
      <c r="A29">
        <v>10006</v>
      </c>
      <c r="B29">
        <v>54480</v>
      </c>
      <c r="C29">
        <v>-45</v>
      </c>
      <c r="D29">
        <v>0.01</v>
      </c>
      <c r="E29" t="s">
        <v>8</v>
      </c>
      <c r="F29" t="s">
        <v>139</v>
      </c>
      <c r="J29">
        <v>27</v>
      </c>
      <c r="K29">
        <v>-92</v>
      </c>
      <c r="L29">
        <v>-83</v>
      </c>
      <c r="M29">
        <v>-45</v>
      </c>
      <c r="N29">
        <f t="shared" si="0"/>
        <v>38</v>
      </c>
    </row>
    <row r="30" spans="1:14" x14ac:dyDescent="0.2">
      <c r="A30">
        <v>10005</v>
      </c>
      <c r="B30">
        <v>54480</v>
      </c>
      <c r="C30">
        <v>-82</v>
      </c>
      <c r="D30">
        <v>0.64</v>
      </c>
      <c r="E30" t="s">
        <v>6</v>
      </c>
      <c r="F30" t="s">
        <v>139</v>
      </c>
      <c r="J30">
        <v>28</v>
      </c>
      <c r="K30">
        <v>-92</v>
      </c>
      <c r="L30">
        <v>-81</v>
      </c>
      <c r="M30">
        <v>-46</v>
      </c>
      <c r="N30">
        <f t="shared" si="0"/>
        <v>35</v>
      </c>
    </row>
    <row r="31" spans="1:14" x14ac:dyDescent="0.2">
      <c r="A31">
        <v>10004</v>
      </c>
      <c r="B31">
        <v>54480</v>
      </c>
      <c r="C31">
        <v>-95</v>
      </c>
      <c r="D31">
        <v>2.41</v>
      </c>
      <c r="E31" t="s">
        <v>6</v>
      </c>
      <c r="F31" t="s">
        <v>139</v>
      </c>
      <c r="J31">
        <v>29</v>
      </c>
      <c r="K31">
        <v>-93</v>
      </c>
      <c r="L31">
        <v>-83</v>
      </c>
      <c r="M31">
        <v>-46</v>
      </c>
      <c r="N31">
        <f t="shared" si="0"/>
        <v>37</v>
      </c>
    </row>
    <row r="32" spans="1:14" x14ac:dyDescent="0.2">
      <c r="A32">
        <v>10004</v>
      </c>
      <c r="B32">
        <v>54480</v>
      </c>
      <c r="C32">
        <v>0</v>
      </c>
      <c r="D32">
        <v>-1</v>
      </c>
      <c r="F32" t="s">
        <v>140</v>
      </c>
      <c r="J32">
        <v>30</v>
      </c>
      <c r="K32">
        <v>-91</v>
      </c>
      <c r="M32">
        <v>-46</v>
      </c>
    </row>
    <row r="33" spans="1:14" x14ac:dyDescent="0.2">
      <c r="A33">
        <v>10006</v>
      </c>
      <c r="B33">
        <v>54480</v>
      </c>
      <c r="C33">
        <v>-45</v>
      </c>
      <c r="D33">
        <v>0.01</v>
      </c>
      <c r="E33" t="s">
        <v>8</v>
      </c>
      <c r="F33" t="s">
        <v>140</v>
      </c>
      <c r="J33">
        <v>31</v>
      </c>
      <c r="K33">
        <v>-91</v>
      </c>
      <c r="L33">
        <v>-82</v>
      </c>
      <c r="M33">
        <v>-46</v>
      </c>
      <c r="N33">
        <f t="shared" si="0"/>
        <v>36</v>
      </c>
    </row>
    <row r="34" spans="1:14" x14ac:dyDescent="0.2">
      <c r="A34">
        <v>10005</v>
      </c>
      <c r="B34">
        <v>54480</v>
      </c>
      <c r="C34">
        <v>-82</v>
      </c>
      <c r="D34">
        <v>0.63</v>
      </c>
      <c r="E34" t="s">
        <v>6</v>
      </c>
      <c r="F34" t="s">
        <v>140</v>
      </c>
      <c r="J34">
        <v>32</v>
      </c>
      <c r="K34">
        <v>-92</v>
      </c>
      <c r="L34">
        <v>-81</v>
      </c>
      <c r="M34">
        <v>-45</v>
      </c>
      <c r="N34">
        <f t="shared" si="0"/>
        <v>36</v>
      </c>
    </row>
    <row r="35" spans="1:14" x14ac:dyDescent="0.2">
      <c r="A35">
        <v>10006</v>
      </c>
      <c r="B35">
        <v>54480</v>
      </c>
      <c r="C35">
        <v>-45</v>
      </c>
      <c r="D35">
        <v>0.01</v>
      </c>
      <c r="E35" t="s">
        <v>8</v>
      </c>
      <c r="F35" t="s">
        <v>141</v>
      </c>
      <c r="J35">
        <v>33</v>
      </c>
      <c r="K35">
        <v>-91</v>
      </c>
      <c r="M35">
        <v>-45</v>
      </c>
    </row>
    <row r="36" spans="1:14" x14ac:dyDescent="0.2">
      <c r="A36">
        <v>10005</v>
      </c>
      <c r="B36">
        <v>54480</v>
      </c>
      <c r="C36">
        <v>-82</v>
      </c>
      <c r="D36">
        <v>0.62</v>
      </c>
      <c r="E36" t="s">
        <v>6</v>
      </c>
      <c r="F36" t="s">
        <v>141</v>
      </c>
      <c r="J36">
        <v>34</v>
      </c>
      <c r="L36">
        <v>-79</v>
      </c>
      <c r="M36">
        <v>-45</v>
      </c>
      <c r="N36">
        <f t="shared" si="0"/>
        <v>34</v>
      </c>
    </row>
    <row r="37" spans="1:14" x14ac:dyDescent="0.2">
      <c r="A37">
        <v>10004</v>
      </c>
      <c r="B37">
        <v>54480</v>
      </c>
      <c r="C37">
        <v>-95</v>
      </c>
      <c r="D37">
        <v>2.5099999999999998</v>
      </c>
      <c r="E37" t="s">
        <v>6</v>
      </c>
      <c r="F37" t="s">
        <v>141</v>
      </c>
      <c r="J37">
        <v>35</v>
      </c>
      <c r="K37">
        <v>-92</v>
      </c>
      <c r="L37">
        <v>-82</v>
      </c>
      <c r="M37">
        <v>-45</v>
      </c>
      <c r="N37">
        <f t="shared" si="0"/>
        <v>37</v>
      </c>
    </row>
    <row r="38" spans="1:14" x14ac:dyDescent="0.2">
      <c r="A38">
        <v>10004</v>
      </c>
      <c r="B38">
        <v>54480</v>
      </c>
      <c r="C38">
        <v>0</v>
      </c>
      <c r="D38">
        <v>-1</v>
      </c>
      <c r="F38" t="s">
        <v>142</v>
      </c>
      <c r="J38">
        <v>36</v>
      </c>
      <c r="K38">
        <v>-92</v>
      </c>
      <c r="L38">
        <v>-80</v>
      </c>
      <c r="M38">
        <v>-45</v>
      </c>
      <c r="N38">
        <f t="shared" si="0"/>
        <v>35</v>
      </c>
    </row>
    <row r="39" spans="1:14" x14ac:dyDescent="0.2">
      <c r="A39">
        <v>10006</v>
      </c>
      <c r="B39">
        <v>54480</v>
      </c>
      <c r="C39">
        <v>-45</v>
      </c>
      <c r="D39">
        <v>0.01</v>
      </c>
      <c r="E39" t="s">
        <v>8</v>
      </c>
      <c r="F39" t="s">
        <v>142</v>
      </c>
      <c r="J39">
        <v>37</v>
      </c>
      <c r="K39">
        <v>-92</v>
      </c>
      <c r="L39">
        <v>-80</v>
      </c>
      <c r="M39">
        <v>-45</v>
      </c>
      <c r="N39">
        <f t="shared" si="0"/>
        <v>35</v>
      </c>
    </row>
    <row r="40" spans="1:14" x14ac:dyDescent="0.2">
      <c r="A40">
        <v>10005</v>
      </c>
      <c r="B40">
        <v>54480</v>
      </c>
      <c r="C40">
        <v>-82</v>
      </c>
      <c r="D40">
        <v>0.62</v>
      </c>
      <c r="E40" t="s">
        <v>6</v>
      </c>
      <c r="F40" t="s">
        <v>142</v>
      </c>
      <c r="J40">
        <v>38</v>
      </c>
      <c r="L40">
        <v>-81</v>
      </c>
    </row>
    <row r="41" spans="1:14" x14ac:dyDescent="0.2">
      <c r="A41">
        <v>10006</v>
      </c>
      <c r="B41">
        <v>54480</v>
      </c>
      <c r="C41">
        <v>-45</v>
      </c>
      <c r="D41">
        <v>0.01</v>
      </c>
      <c r="E41" t="s">
        <v>8</v>
      </c>
      <c r="F41" t="s">
        <v>143</v>
      </c>
      <c r="J41">
        <v>39</v>
      </c>
      <c r="K41">
        <v>-92</v>
      </c>
      <c r="L41">
        <v>-81</v>
      </c>
      <c r="M41">
        <v>-45</v>
      </c>
      <c r="N41">
        <f t="shared" si="0"/>
        <v>36</v>
      </c>
    </row>
    <row r="42" spans="1:14" x14ac:dyDescent="0.2">
      <c r="A42">
        <v>10005</v>
      </c>
      <c r="B42">
        <v>54480</v>
      </c>
      <c r="C42">
        <v>-82</v>
      </c>
      <c r="D42">
        <v>0.62</v>
      </c>
      <c r="E42" t="s">
        <v>6</v>
      </c>
      <c r="F42" t="s">
        <v>143</v>
      </c>
      <c r="J42">
        <v>40</v>
      </c>
      <c r="L42">
        <v>-81</v>
      </c>
      <c r="M42">
        <v>-46</v>
      </c>
      <c r="N42">
        <f t="shared" si="0"/>
        <v>35</v>
      </c>
    </row>
    <row r="43" spans="1:14" x14ac:dyDescent="0.2">
      <c r="A43">
        <v>10004</v>
      </c>
      <c r="B43">
        <v>54480</v>
      </c>
      <c r="C43">
        <v>-96</v>
      </c>
      <c r="D43">
        <v>2.64</v>
      </c>
      <c r="E43" t="s">
        <v>6</v>
      </c>
      <c r="F43" t="s">
        <v>143</v>
      </c>
      <c r="J43">
        <v>41</v>
      </c>
      <c r="K43">
        <v>-92</v>
      </c>
      <c r="L43">
        <v>-81</v>
      </c>
      <c r="M43">
        <v>-45</v>
      </c>
      <c r="N43">
        <f t="shared" si="0"/>
        <v>36</v>
      </c>
    </row>
    <row r="44" spans="1:14" x14ac:dyDescent="0.2">
      <c r="A44">
        <v>10006</v>
      </c>
      <c r="B44">
        <v>54480</v>
      </c>
      <c r="C44">
        <v>-46</v>
      </c>
      <c r="D44">
        <v>0.01</v>
      </c>
      <c r="E44" t="s">
        <v>8</v>
      </c>
      <c r="F44" t="s">
        <v>144</v>
      </c>
      <c r="J44">
        <v>42</v>
      </c>
      <c r="K44">
        <v>-93</v>
      </c>
      <c r="L44">
        <v>-80</v>
      </c>
    </row>
    <row r="45" spans="1:14" x14ac:dyDescent="0.2">
      <c r="A45">
        <v>10005</v>
      </c>
      <c r="B45">
        <v>54480</v>
      </c>
      <c r="C45">
        <v>-82</v>
      </c>
      <c r="D45">
        <v>0.61</v>
      </c>
      <c r="E45" t="s">
        <v>6</v>
      </c>
      <c r="F45" t="s">
        <v>144</v>
      </c>
      <c r="J45">
        <v>43</v>
      </c>
      <c r="K45">
        <v>-93</v>
      </c>
      <c r="L45">
        <v>-80</v>
      </c>
      <c r="M45">
        <v>-45</v>
      </c>
      <c r="N45">
        <f t="shared" si="0"/>
        <v>35</v>
      </c>
    </row>
    <row r="46" spans="1:14" x14ac:dyDescent="0.2">
      <c r="A46">
        <v>10004</v>
      </c>
      <c r="B46">
        <v>54480</v>
      </c>
      <c r="C46">
        <v>-90</v>
      </c>
      <c r="D46">
        <v>2.41</v>
      </c>
      <c r="E46" t="s">
        <v>6</v>
      </c>
      <c r="F46" t="s">
        <v>144</v>
      </c>
      <c r="J46">
        <v>44</v>
      </c>
      <c r="K46">
        <v>-92</v>
      </c>
      <c r="L46">
        <v>-80</v>
      </c>
      <c r="M46">
        <v>-46</v>
      </c>
      <c r="N46">
        <f t="shared" si="0"/>
        <v>34</v>
      </c>
    </row>
    <row r="47" spans="1:14" x14ac:dyDescent="0.2">
      <c r="A47">
        <v>10004</v>
      </c>
      <c r="B47">
        <v>54480</v>
      </c>
      <c r="C47">
        <v>0</v>
      </c>
      <c r="D47">
        <v>-1</v>
      </c>
      <c r="F47" t="s">
        <v>145</v>
      </c>
      <c r="J47">
        <v>45</v>
      </c>
      <c r="K47">
        <v>-92</v>
      </c>
      <c r="L47">
        <v>-80</v>
      </c>
      <c r="M47">
        <v>-45</v>
      </c>
      <c r="N47">
        <f t="shared" si="0"/>
        <v>35</v>
      </c>
    </row>
    <row r="48" spans="1:14" x14ac:dyDescent="0.2">
      <c r="A48">
        <v>10006</v>
      </c>
      <c r="B48">
        <v>54480</v>
      </c>
      <c r="C48">
        <v>-45</v>
      </c>
      <c r="D48">
        <v>0.01</v>
      </c>
      <c r="E48" t="s">
        <v>8</v>
      </c>
      <c r="F48" t="s">
        <v>145</v>
      </c>
      <c r="J48">
        <v>46</v>
      </c>
      <c r="K48">
        <v>-93</v>
      </c>
      <c r="L48">
        <v>-80</v>
      </c>
      <c r="M48">
        <v>-46</v>
      </c>
      <c r="N48">
        <f t="shared" si="0"/>
        <v>34</v>
      </c>
    </row>
    <row r="49" spans="1:14" x14ac:dyDescent="0.2">
      <c r="A49">
        <v>10005</v>
      </c>
      <c r="B49">
        <v>54480</v>
      </c>
      <c r="C49">
        <v>-82</v>
      </c>
      <c r="D49">
        <v>0.61</v>
      </c>
      <c r="E49" t="s">
        <v>6</v>
      </c>
      <c r="F49" t="s">
        <v>145</v>
      </c>
      <c r="J49">
        <v>47</v>
      </c>
      <c r="K49">
        <v>-91</v>
      </c>
      <c r="L49">
        <v>-80</v>
      </c>
      <c r="M49">
        <v>-45</v>
      </c>
      <c r="N49">
        <f t="shared" si="0"/>
        <v>35</v>
      </c>
    </row>
    <row r="50" spans="1:14" x14ac:dyDescent="0.2">
      <c r="A50">
        <v>10006</v>
      </c>
      <c r="B50">
        <v>54480</v>
      </c>
      <c r="C50">
        <v>-46</v>
      </c>
      <c r="D50">
        <v>0.01</v>
      </c>
      <c r="E50" t="s">
        <v>8</v>
      </c>
      <c r="F50" t="s">
        <v>146</v>
      </c>
      <c r="J50">
        <v>48</v>
      </c>
      <c r="K50">
        <v>-91</v>
      </c>
      <c r="L50">
        <v>-81</v>
      </c>
      <c r="M50">
        <v>-46</v>
      </c>
      <c r="N50">
        <f t="shared" si="0"/>
        <v>35</v>
      </c>
    </row>
    <row r="51" spans="1:14" x14ac:dyDescent="0.2">
      <c r="A51">
        <v>10005</v>
      </c>
      <c r="B51">
        <v>54480</v>
      </c>
      <c r="C51">
        <v>-81</v>
      </c>
      <c r="D51">
        <v>0.6</v>
      </c>
      <c r="E51" t="s">
        <v>6</v>
      </c>
      <c r="F51" t="s">
        <v>146</v>
      </c>
      <c r="J51">
        <v>49</v>
      </c>
      <c r="L51">
        <v>-81</v>
      </c>
      <c r="M51">
        <v>-45</v>
      </c>
      <c r="N51">
        <f t="shared" si="0"/>
        <v>36</v>
      </c>
    </row>
    <row r="52" spans="1:14" x14ac:dyDescent="0.2">
      <c r="A52">
        <v>10004</v>
      </c>
      <c r="B52">
        <v>54480</v>
      </c>
      <c r="C52">
        <v>-92</v>
      </c>
      <c r="D52">
        <v>2.37</v>
      </c>
      <c r="E52" t="s">
        <v>6</v>
      </c>
      <c r="F52" t="s">
        <v>146</v>
      </c>
      <c r="J52">
        <v>50</v>
      </c>
      <c r="L52">
        <v>-82</v>
      </c>
      <c r="M52">
        <v>-45</v>
      </c>
      <c r="N52">
        <f t="shared" si="0"/>
        <v>37</v>
      </c>
    </row>
    <row r="53" spans="1:14" x14ac:dyDescent="0.2">
      <c r="A53">
        <v>10004</v>
      </c>
      <c r="B53">
        <v>54480</v>
      </c>
      <c r="C53">
        <v>0</v>
      </c>
      <c r="D53">
        <v>-1</v>
      </c>
      <c r="F53" t="s">
        <v>147</v>
      </c>
      <c r="J53">
        <v>51</v>
      </c>
      <c r="K53">
        <v>-94</v>
      </c>
      <c r="L53">
        <v>-81</v>
      </c>
      <c r="M53">
        <v>-45</v>
      </c>
      <c r="N53">
        <f t="shared" si="0"/>
        <v>36</v>
      </c>
    </row>
    <row r="54" spans="1:14" x14ac:dyDescent="0.2">
      <c r="A54">
        <v>10006</v>
      </c>
      <c r="B54">
        <v>54480</v>
      </c>
      <c r="C54">
        <v>-46</v>
      </c>
      <c r="D54">
        <v>0.01</v>
      </c>
      <c r="E54" t="s">
        <v>8</v>
      </c>
      <c r="F54" t="s">
        <v>147</v>
      </c>
      <c r="J54">
        <v>52</v>
      </c>
      <c r="K54">
        <v>-94</v>
      </c>
      <c r="L54">
        <v>-82</v>
      </c>
      <c r="M54">
        <v>-45</v>
      </c>
      <c r="N54">
        <f t="shared" si="0"/>
        <v>37</v>
      </c>
    </row>
    <row r="55" spans="1:14" x14ac:dyDescent="0.2">
      <c r="A55">
        <v>10005</v>
      </c>
      <c r="B55">
        <v>54480</v>
      </c>
      <c r="C55">
        <v>-81</v>
      </c>
      <c r="D55">
        <v>0.57999999999999996</v>
      </c>
      <c r="E55" t="s">
        <v>6</v>
      </c>
      <c r="F55" t="s">
        <v>147</v>
      </c>
      <c r="J55">
        <v>53</v>
      </c>
      <c r="L55">
        <v>-81</v>
      </c>
      <c r="M55">
        <v>-45</v>
      </c>
      <c r="N55">
        <f t="shared" si="0"/>
        <v>36</v>
      </c>
    </row>
    <row r="56" spans="1:14" x14ac:dyDescent="0.2">
      <c r="A56">
        <v>10006</v>
      </c>
      <c r="B56">
        <v>54480</v>
      </c>
      <c r="C56">
        <v>-46</v>
      </c>
      <c r="D56">
        <v>0.01</v>
      </c>
      <c r="E56" t="s">
        <v>8</v>
      </c>
      <c r="F56" t="s">
        <v>148</v>
      </c>
      <c r="J56">
        <v>54</v>
      </c>
      <c r="L56">
        <v>-82</v>
      </c>
      <c r="M56">
        <v>-45</v>
      </c>
      <c r="N56">
        <f t="shared" si="0"/>
        <v>37</v>
      </c>
    </row>
    <row r="57" spans="1:14" x14ac:dyDescent="0.2">
      <c r="A57">
        <v>10005</v>
      </c>
      <c r="B57">
        <v>54480</v>
      </c>
      <c r="C57">
        <v>-81</v>
      </c>
      <c r="D57">
        <v>0.56999999999999995</v>
      </c>
      <c r="E57" t="s">
        <v>6</v>
      </c>
      <c r="F57" t="s">
        <v>148</v>
      </c>
      <c r="J57">
        <v>55</v>
      </c>
      <c r="L57">
        <v>-81</v>
      </c>
      <c r="M57">
        <v>-45</v>
      </c>
      <c r="N57">
        <f t="shared" si="0"/>
        <v>36</v>
      </c>
    </row>
    <row r="58" spans="1:14" x14ac:dyDescent="0.2">
      <c r="A58">
        <v>10004</v>
      </c>
      <c r="B58">
        <v>54480</v>
      </c>
      <c r="C58">
        <v>-91</v>
      </c>
      <c r="D58">
        <v>2.29</v>
      </c>
      <c r="E58" t="s">
        <v>6</v>
      </c>
      <c r="F58" t="s">
        <v>148</v>
      </c>
      <c r="J58">
        <v>56</v>
      </c>
      <c r="L58">
        <v>-82</v>
      </c>
      <c r="M58">
        <v>-45</v>
      </c>
      <c r="N58">
        <f t="shared" si="0"/>
        <v>37</v>
      </c>
    </row>
    <row r="59" spans="1:14" x14ac:dyDescent="0.2">
      <c r="A59">
        <v>10004</v>
      </c>
      <c r="B59">
        <v>54480</v>
      </c>
      <c r="C59">
        <v>0</v>
      </c>
      <c r="D59">
        <v>-1</v>
      </c>
      <c r="F59" t="s">
        <v>149</v>
      </c>
      <c r="J59">
        <v>57</v>
      </c>
      <c r="L59">
        <v>-82</v>
      </c>
      <c r="M59">
        <v>-45</v>
      </c>
      <c r="N59">
        <f t="shared" si="0"/>
        <v>37</v>
      </c>
    </row>
    <row r="60" spans="1:14" x14ac:dyDescent="0.2">
      <c r="A60">
        <v>10006</v>
      </c>
      <c r="B60">
        <v>54480</v>
      </c>
      <c r="C60">
        <v>-46</v>
      </c>
      <c r="D60">
        <v>0.01</v>
      </c>
      <c r="E60" t="s">
        <v>8</v>
      </c>
      <c r="F60" t="s">
        <v>149</v>
      </c>
      <c r="J60">
        <v>58</v>
      </c>
      <c r="L60">
        <v>-84</v>
      </c>
      <c r="M60">
        <v>-45</v>
      </c>
      <c r="N60">
        <f t="shared" si="0"/>
        <v>39</v>
      </c>
    </row>
    <row r="61" spans="1:14" x14ac:dyDescent="0.2">
      <c r="A61">
        <v>10005</v>
      </c>
      <c r="B61">
        <v>54480</v>
      </c>
      <c r="C61">
        <v>-81</v>
      </c>
      <c r="D61">
        <v>0.56999999999999995</v>
      </c>
      <c r="E61" t="s">
        <v>6</v>
      </c>
      <c r="F61" t="s">
        <v>149</v>
      </c>
      <c r="J61">
        <v>59</v>
      </c>
      <c r="L61">
        <v>-82</v>
      </c>
      <c r="M61">
        <v>-45</v>
      </c>
      <c r="N61">
        <f t="shared" si="0"/>
        <v>37</v>
      </c>
    </row>
    <row r="62" spans="1:14" x14ac:dyDescent="0.2">
      <c r="A62">
        <v>10004</v>
      </c>
      <c r="B62">
        <v>54480</v>
      </c>
      <c r="C62">
        <v>0</v>
      </c>
      <c r="D62">
        <v>-1</v>
      </c>
      <c r="F62" t="s">
        <v>150</v>
      </c>
      <c r="J62">
        <v>60</v>
      </c>
      <c r="L62">
        <v>-82</v>
      </c>
      <c r="M62">
        <v>-45</v>
      </c>
      <c r="N62">
        <f t="shared" si="0"/>
        <v>37</v>
      </c>
    </row>
    <row r="63" spans="1:14" x14ac:dyDescent="0.2">
      <c r="A63">
        <v>10006</v>
      </c>
      <c r="B63">
        <v>54480</v>
      </c>
      <c r="C63">
        <v>-46</v>
      </c>
      <c r="D63">
        <v>0.01</v>
      </c>
      <c r="E63" t="s">
        <v>8</v>
      </c>
      <c r="F63" t="s">
        <v>150</v>
      </c>
    </row>
    <row r="64" spans="1:14" x14ac:dyDescent="0.2">
      <c r="A64">
        <v>10005</v>
      </c>
      <c r="B64">
        <v>54480</v>
      </c>
      <c r="C64">
        <v>-81</v>
      </c>
      <c r="D64">
        <v>0.56000000000000005</v>
      </c>
      <c r="E64" t="s">
        <v>6</v>
      </c>
      <c r="F64" t="s">
        <v>150</v>
      </c>
    </row>
    <row r="65" spans="1:6" x14ac:dyDescent="0.2">
      <c r="A65">
        <v>10004</v>
      </c>
      <c r="B65">
        <v>54480</v>
      </c>
      <c r="C65">
        <v>0</v>
      </c>
      <c r="D65">
        <v>-1</v>
      </c>
      <c r="F65" t="s">
        <v>151</v>
      </c>
    </row>
    <row r="66" spans="1:6" x14ac:dyDescent="0.2">
      <c r="A66">
        <v>10006</v>
      </c>
      <c r="B66">
        <v>54480</v>
      </c>
      <c r="C66">
        <v>0</v>
      </c>
      <c r="D66">
        <v>-1</v>
      </c>
      <c r="F66" t="s">
        <v>151</v>
      </c>
    </row>
    <row r="67" spans="1:6" x14ac:dyDescent="0.2">
      <c r="A67">
        <v>10005</v>
      </c>
      <c r="B67">
        <v>54480</v>
      </c>
      <c r="C67">
        <v>-82</v>
      </c>
      <c r="D67">
        <v>0.56999999999999995</v>
      </c>
      <c r="E67" t="s">
        <v>6</v>
      </c>
      <c r="F67" t="s">
        <v>151</v>
      </c>
    </row>
    <row r="68" spans="1:6" x14ac:dyDescent="0.2">
      <c r="A68">
        <v>10004</v>
      </c>
      <c r="B68">
        <v>54480</v>
      </c>
      <c r="C68">
        <v>0</v>
      </c>
      <c r="D68">
        <v>-1</v>
      </c>
      <c r="F68" t="s">
        <v>152</v>
      </c>
    </row>
    <row r="69" spans="1:6" x14ac:dyDescent="0.2">
      <c r="A69">
        <v>10006</v>
      </c>
      <c r="B69">
        <v>54480</v>
      </c>
      <c r="C69">
        <v>-46</v>
      </c>
      <c r="D69">
        <v>0.01</v>
      </c>
      <c r="E69" t="s">
        <v>8</v>
      </c>
      <c r="F69" t="s">
        <v>152</v>
      </c>
    </row>
    <row r="70" spans="1:6" x14ac:dyDescent="0.2">
      <c r="A70">
        <v>10005</v>
      </c>
      <c r="B70">
        <v>54480</v>
      </c>
      <c r="C70">
        <v>-82</v>
      </c>
      <c r="D70">
        <v>0.56999999999999995</v>
      </c>
      <c r="E70" t="s">
        <v>6</v>
      </c>
      <c r="F70" t="s">
        <v>152</v>
      </c>
    </row>
    <row r="71" spans="1:6" x14ac:dyDescent="0.2">
      <c r="A71">
        <v>10006</v>
      </c>
      <c r="B71">
        <v>54480</v>
      </c>
      <c r="C71">
        <v>-46</v>
      </c>
      <c r="D71">
        <v>0.01</v>
      </c>
      <c r="E71" t="s">
        <v>8</v>
      </c>
      <c r="F71" t="s">
        <v>153</v>
      </c>
    </row>
    <row r="72" spans="1:6" x14ac:dyDescent="0.2">
      <c r="A72">
        <v>10005</v>
      </c>
      <c r="B72">
        <v>54480</v>
      </c>
      <c r="C72">
        <v>-81</v>
      </c>
      <c r="D72">
        <v>0.56000000000000005</v>
      </c>
      <c r="E72" t="s">
        <v>6</v>
      </c>
      <c r="F72" t="s">
        <v>153</v>
      </c>
    </row>
    <row r="73" spans="1:6" x14ac:dyDescent="0.2">
      <c r="A73">
        <v>10004</v>
      </c>
      <c r="B73">
        <v>54480</v>
      </c>
      <c r="C73">
        <v>-91</v>
      </c>
      <c r="D73">
        <v>2.2200000000000002</v>
      </c>
      <c r="E73" t="s">
        <v>6</v>
      </c>
      <c r="F73" t="s">
        <v>153</v>
      </c>
    </row>
    <row r="74" spans="1:6" x14ac:dyDescent="0.2">
      <c r="A74">
        <v>10006</v>
      </c>
      <c r="B74">
        <v>54480</v>
      </c>
      <c r="C74">
        <v>-45</v>
      </c>
      <c r="D74">
        <v>0.01</v>
      </c>
      <c r="E74" t="s">
        <v>8</v>
      </c>
      <c r="F74" t="s">
        <v>154</v>
      </c>
    </row>
    <row r="75" spans="1:6" x14ac:dyDescent="0.2">
      <c r="A75">
        <v>10005</v>
      </c>
      <c r="B75">
        <v>54480</v>
      </c>
      <c r="C75">
        <v>-81</v>
      </c>
      <c r="D75">
        <v>0.56000000000000005</v>
      </c>
      <c r="E75" t="s">
        <v>6</v>
      </c>
      <c r="F75" t="s">
        <v>154</v>
      </c>
    </row>
    <row r="76" spans="1:6" x14ac:dyDescent="0.2">
      <c r="A76">
        <v>10004</v>
      </c>
      <c r="B76">
        <v>54480</v>
      </c>
      <c r="C76">
        <v>-91</v>
      </c>
      <c r="D76">
        <v>2.12</v>
      </c>
      <c r="E76" t="s">
        <v>6</v>
      </c>
      <c r="F76" t="s">
        <v>154</v>
      </c>
    </row>
    <row r="77" spans="1:6" x14ac:dyDescent="0.2">
      <c r="A77">
        <v>10006</v>
      </c>
      <c r="B77">
        <v>54480</v>
      </c>
      <c r="C77">
        <v>-45</v>
      </c>
      <c r="D77">
        <v>0.01</v>
      </c>
      <c r="E77" t="s">
        <v>8</v>
      </c>
      <c r="F77" t="s">
        <v>155</v>
      </c>
    </row>
    <row r="78" spans="1:6" x14ac:dyDescent="0.2">
      <c r="A78">
        <v>10005</v>
      </c>
      <c r="B78">
        <v>54480</v>
      </c>
      <c r="C78">
        <v>-83</v>
      </c>
      <c r="D78">
        <v>0.56999999999999995</v>
      </c>
      <c r="E78" t="s">
        <v>6</v>
      </c>
      <c r="F78" t="s">
        <v>155</v>
      </c>
    </row>
    <row r="79" spans="1:6" x14ac:dyDescent="0.2">
      <c r="A79">
        <v>10004</v>
      </c>
      <c r="B79">
        <v>54480</v>
      </c>
      <c r="C79">
        <v>-90</v>
      </c>
      <c r="D79">
        <v>2.0099999999999998</v>
      </c>
      <c r="E79" t="s">
        <v>6</v>
      </c>
      <c r="F79" t="s">
        <v>155</v>
      </c>
    </row>
    <row r="80" spans="1:6" x14ac:dyDescent="0.2">
      <c r="A80">
        <v>10006</v>
      </c>
      <c r="B80">
        <v>54480</v>
      </c>
      <c r="C80">
        <v>-46</v>
      </c>
      <c r="D80">
        <v>0.01</v>
      </c>
      <c r="E80" t="s">
        <v>8</v>
      </c>
      <c r="F80" t="s">
        <v>156</v>
      </c>
    </row>
    <row r="81" spans="1:6" x14ac:dyDescent="0.2">
      <c r="A81">
        <v>10005</v>
      </c>
      <c r="B81">
        <v>54480</v>
      </c>
      <c r="C81">
        <v>-81</v>
      </c>
      <c r="D81">
        <v>0.56999999999999995</v>
      </c>
      <c r="E81" t="s">
        <v>6</v>
      </c>
      <c r="F81" t="s">
        <v>156</v>
      </c>
    </row>
    <row r="82" spans="1:6" x14ac:dyDescent="0.2">
      <c r="A82">
        <v>10004</v>
      </c>
      <c r="B82">
        <v>54480</v>
      </c>
      <c r="C82">
        <v>-91</v>
      </c>
      <c r="D82">
        <v>1.99</v>
      </c>
      <c r="E82" t="s">
        <v>6</v>
      </c>
      <c r="F82" t="s">
        <v>156</v>
      </c>
    </row>
    <row r="83" spans="1:6" x14ac:dyDescent="0.2">
      <c r="A83">
        <v>10006</v>
      </c>
      <c r="B83">
        <v>54480</v>
      </c>
      <c r="C83">
        <v>-46</v>
      </c>
      <c r="D83">
        <v>0.01</v>
      </c>
      <c r="E83" t="s">
        <v>8</v>
      </c>
      <c r="F83" t="s">
        <v>157</v>
      </c>
    </row>
    <row r="84" spans="1:6" x14ac:dyDescent="0.2">
      <c r="A84">
        <v>10005</v>
      </c>
      <c r="B84">
        <v>54480</v>
      </c>
      <c r="C84">
        <v>-83</v>
      </c>
      <c r="D84">
        <v>0.57999999999999996</v>
      </c>
      <c r="E84" t="s">
        <v>6</v>
      </c>
      <c r="F84" t="s">
        <v>157</v>
      </c>
    </row>
    <row r="85" spans="1:6" x14ac:dyDescent="0.2">
      <c r="A85">
        <v>10004</v>
      </c>
      <c r="B85">
        <v>54480</v>
      </c>
      <c r="C85">
        <v>-93</v>
      </c>
      <c r="D85">
        <v>2.0499999999999998</v>
      </c>
      <c r="E85" t="s">
        <v>6</v>
      </c>
      <c r="F85" t="s">
        <v>157</v>
      </c>
    </row>
    <row r="86" spans="1:6" x14ac:dyDescent="0.2">
      <c r="A86">
        <v>10005</v>
      </c>
      <c r="B86">
        <v>54480</v>
      </c>
      <c r="C86">
        <v>0</v>
      </c>
      <c r="D86">
        <v>-1</v>
      </c>
      <c r="F86" t="s">
        <v>158</v>
      </c>
    </row>
    <row r="87" spans="1:6" x14ac:dyDescent="0.2">
      <c r="A87">
        <v>10006</v>
      </c>
      <c r="B87">
        <v>54480</v>
      </c>
      <c r="C87">
        <v>-46</v>
      </c>
      <c r="D87">
        <v>0.01</v>
      </c>
      <c r="E87" t="s">
        <v>8</v>
      </c>
      <c r="F87" t="s">
        <v>158</v>
      </c>
    </row>
    <row r="88" spans="1:6" x14ac:dyDescent="0.2">
      <c r="A88">
        <v>10004</v>
      </c>
      <c r="B88">
        <v>54480</v>
      </c>
      <c r="C88">
        <v>-92</v>
      </c>
      <c r="D88">
        <v>2.06</v>
      </c>
      <c r="E88" t="s">
        <v>6</v>
      </c>
      <c r="F88" t="s">
        <v>158</v>
      </c>
    </row>
    <row r="89" spans="1:6" x14ac:dyDescent="0.2">
      <c r="A89">
        <v>10006</v>
      </c>
      <c r="B89">
        <v>54480</v>
      </c>
      <c r="C89">
        <v>-46</v>
      </c>
      <c r="D89">
        <v>0.01</v>
      </c>
      <c r="E89" t="s">
        <v>8</v>
      </c>
      <c r="F89" t="s">
        <v>159</v>
      </c>
    </row>
    <row r="90" spans="1:6" x14ac:dyDescent="0.2">
      <c r="A90">
        <v>10005</v>
      </c>
      <c r="B90">
        <v>54480</v>
      </c>
      <c r="C90">
        <v>-82</v>
      </c>
      <c r="D90">
        <v>0.57999999999999996</v>
      </c>
      <c r="E90" t="s">
        <v>6</v>
      </c>
      <c r="F90" t="s">
        <v>159</v>
      </c>
    </row>
    <row r="91" spans="1:6" x14ac:dyDescent="0.2">
      <c r="A91">
        <v>10004</v>
      </c>
      <c r="B91">
        <v>54480</v>
      </c>
      <c r="C91">
        <v>-92</v>
      </c>
      <c r="D91">
        <v>2.0699999999999998</v>
      </c>
      <c r="E91" t="s">
        <v>6</v>
      </c>
      <c r="F91" t="s">
        <v>159</v>
      </c>
    </row>
    <row r="92" spans="1:6" x14ac:dyDescent="0.2">
      <c r="A92">
        <v>10006</v>
      </c>
      <c r="B92">
        <v>54480</v>
      </c>
      <c r="C92">
        <v>-45</v>
      </c>
      <c r="D92">
        <v>0.01</v>
      </c>
      <c r="E92" t="s">
        <v>8</v>
      </c>
      <c r="F92" t="s">
        <v>160</v>
      </c>
    </row>
    <row r="93" spans="1:6" x14ac:dyDescent="0.2">
      <c r="A93">
        <v>10005</v>
      </c>
      <c r="B93">
        <v>54480</v>
      </c>
      <c r="C93">
        <v>-81</v>
      </c>
      <c r="D93">
        <v>0.56999999999999995</v>
      </c>
      <c r="E93" t="s">
        <v>6</v>
      </c>
      <c r="F93" t="s">
        <v>160</v>
      </c>
    </row>
    <row r="94" spans="1:6" x14ac:dyDescent="0.2">
      <c r="A94">
        <v>10004</v>
      </c>
      <c r="B94">
        <v>54480</v>
      </c>
      <c r="C94">
        <v>-93</v>
      </c>
      <c r="D94">
        <v>2.11</v>
      </c>
      <c r="E94" t="s">
        <v>6</v>
      </c>
      <c r="F94" t="s">
        <v>160</v>
      </c>
    </row>
    <row r="95" spans="1:6" x14ac:dyDescent="0.2">
      <c r="A95">
        <v>10005</v>
      </c>
      <c r="B95">
        <v>54480</v>
      </c>
      <c r="C95">
        <v>0</v>
      </c>
      <c r="D95">
        <v>-1</v>
      </c>
      <c r="F95" t="s">
        <v>161</v>
      </c>
    </row>
    <row r="96" spans="1:6" x14ac:dyDescent="0.2">
      <c r="A96">
        <v>10006</v>
      </c>
      <c r="B96">
        <v>54480</v>
      </c>
      <c r="C96">
        <v>-45</v>
      </c>
      <c r="D96">
        <v>0.01</v>
      </c>
      <c r="E96" t="s">
        <v>8</v>
      </c>
      <c r="F96" t="s">
        <v>161</v>
      </c>
    </row>
    <row r="97" spans="1:6" x14ac:dyDescent="0.2">
      <c r="A97">
        <v>10004</v>
      </c>
      <c r="B97">
        <v>54480</v>
      </c>
      <c r="C97">
        <v>-91</v>
      </c>
      <c r="D97">
        <v>2.09</v>
      </c>
      <c r="E97" t="s">
        <v>6</v>
      </c>
      <c r="F97" t="s">
        <v>161</v>
      </c>
    </row>
    <row r="98" spans="1:6" x14ac:dyDescent="0.2">
      <c r="A98">
        <v>10006</v>
      </c>
      <c r="B98">
        <v>54480</v>
      </c>
      <c r="C98">
        <v>-45</v>
      </c>
      <c r="D98">
        <v>0.01</v>
      </c>
      <c r="E98" t="s">
        <v>8</v>
      </c>
      <c r="F98" t="s">
        <v>162</v>
      </c>
    </row>
    <row r="99" spans="1:6" x14ac:dyDescent="0.2">
      <c r="A99">
        <v>10005</v>
      </c>
      <c r="B99">
        <v>54480</v>
      </c>
      <c r="C99">
        <v>-79</v>
      </c>
      <c r="D99">
        <v>0.53</v>
      </c>
      <c r="E99" t="s">
        <v>6</v>
      </c>
      <c r="F99" t="s">
        <v>162</v>
      </c>
    </row>
    <row r="100" spans="1:6" x14ac:dyDescent="0.2">
      <c r="A100">
        <v>10004</v>
      </c>
      <c r="B100">
        <v>54480</v>
      </c>
      <c r="C100">
        <v>-91</v>
      </c>
      <c r="D100">
        <v>2.06</v>
      </c>
      <c r="E100" t="s">
        <v>6</v>
      </c>
      <c r="F100" t="s">
        <v>162</v>
      </c>
    </row>
    <row r="101" spans="1:6" x14ac:dyDescent="0.2">
      <c r="A101">
        <v>10006</v>
      </c>
      <c r="B101">
        <v>54480</v>
      </c>
      <c r="C101">
        <v>-45</v>
      </c>
      <c r="D101">
        <v>0.01</v>
      </c>
      <c r="E101" t="s">
        <v>8</v>
      </c>
      <c r="F101" t="s">
        <v>163</v>
      </c>
    </row>
    <row r="102" spans="1:6" x14ac:dyDescent="0.2">
      <c r="A102">
        <v>10005</v>
      </c>
      <c r="B102">
        <v>54480</v>
      </c>
      <c r="C102">
        <v>-82</v>
      </c>
      <c r="D102">
        <v>0.54</v>
      </c>
      <c r="E102" t="s">
        <v>6</v>
      </c>
      <c r="F102" t="s">
        <v>163</v>
      </c>
    </row>
    <row r="103" spans="1:6" x14ac:dyDescent="0.2">
      <c r="A103">
        <v>10004</v>
      </c>
      <c r="B103">
        <v>54480</v>
      </c>
      <c r="C103">
        <v>-92</v>
      </c>
      <c r="D103">
        <v>2.0699999999999998</v>
      </c>
      <c r="E103" t="s">
        <v>6</v>
      </c>
      <c r="F103" t="s">
        <v>163</v>
      </c>
    </row>
    <row r="104" spans="1:6" x14ac:dyDescent="0.2">
      <c r="A104">
        <v>10006</v>
      </c>
      <c r="B104">
        <v>54480</v>
      </c>
      <c r="C104">
        <v>-45</v>
      </c>
      <c r="D104">
        <v>0.01</v>
      </c>
      <c r="E104" t="s">
        <v>8</v>
      </c>
      <c r="F104" t="s">
        <v>164</v>
      </c>
    </row>
    <row r="105" spans="1:6" x14ac:dyDescent="0.2">
      <c r="A105">
        <v>10005</v>
      </c>
      <c r="B105">
        <v>54480</v>
      </c>
      <c r="C105">
        <v>-80</v>
      </c>
      <c r="D105">
        <v>0.52</v>
      </c>
      <c r="E105" t="s">
        <v>6</v>
      </c>
      <c r="F105" t="s">
        <v>164</v>
      </c>
    </row>
    <row r="106" spans="1:6" x14ac:dyDescent="0.2">
      <c r="A106">
        <v>10004</v>
      </c>
      <c r="B106">
        <v>54480</v>
      </c>
      <c r="C106">
        <v>-91</v>
      </c>
      <c r="D106">
        <v>2.0499999999999998</v>
      </c>
      <c r="E106" t="s">
        <v>6</v>
      </c>
      <c r="F106" t="s">
        <v>164</v>
      </c>
    </row>
    <row r="107" spans="1:6" x14ac:dyDescent="0.2">
      <c r="A107">
        <v>10004</v>
      </c>
      <c r="B107">
        <v>54480</v>
      </c>
      <c r="C107">
        <v>0</v>
      </c>
      <c r="D107">
        <v>-1</v>
      </c>
      <c r="F107" t="s">
        <v>165</v>
      </c>
    </row>
    <row r="108" spans="1:6" x14ac:dyDescent="0.2">
      <c r="A108">
        <v>10006</v>
      </c>
      <c r="B108">
        <v>54480</v>
      </c>
      <c r="C108">
        <v>-45</v>
      </c>
      <c r="D108">
        <v>0.01</v>
      </c>
      <c r="E108" t="s">
        <v>8</v>
      </c>
      <c r="F108" t="s">
        <v>165</v>
      </c>
    </row>
    <row r="109" spans="1:6" x14ac:dyDescent="0.2">
      <c r="A109">
        <v>10005</v>
      </c>
      <c r="B109">
        <v>54480</v>
      </c>
      <c r="C109">
        <v>-80</v>
      </c>
      <c r="D109">
        <v>0.51</v>
      </c>
      <c r="E109" t="s">
        <v>6</v>
      </c>
      <c r="F109" t="s">
        <v>165</v>
      </c>
    </row>
    <row r="110" spans="1:6" x14ac:dyDescent="0.2">
      <c r="A110">
        <v>10006</v>
      </c>
      <c r="B110">
        <v>54480</v>
      </c>
      <c r="C110">
        <v>0</v>
      </c>
      <c r="D110">
        <v>-1</v>
      </c>
      <c r="F110" t="s">
        <v>166</v>
      </c>
    </row>
    <row r="111" spans="1:6" x14ac:dyDescent="0.2">
      <c r="A111">
        <v>10005</v>
      </c>
      <c r="B111">
        <v>54480</v>
      </c>
      <c r="C111">
        <v>-81</v>
      </c>
      <c r="D111">
        <v>0.51</v>
      </c>
      <c r="E111" t="s">
        <v>6</v>
      </c>
      <c r="F111" t="s">
        <v>166</v>
      </c>
    </row>
    <row r="112" spans="1:6" x14ac:dyDescent="0.2">
      <c r="A112">
        <v>10004</v>
      </c>
      <c r="B112">
        <v>54480</v>
      </c>
      <c r="C112">
        <v>-92</v>
      </c>
      <c r="D112">
        <v>2.06</v>
      </c>
      <c r="E112" t="s">
        <v>6</v>
      </c>
      <c r="F112" t="s">
        <v>166</v>
      </c>
    </row>
    <row r="113" spans="1:6" x14ac:dyDescent="0.2">
      <c r="A113">
        <v>10006</v>
      </c>
      <c r="B113">
        <v>54480</v>
      </c>
      <c r="C113">
        <v>-45</v>
      </c>
      <c r="D113">
        <v>0.01</v>
      </c>
      <c r="E113" t="s">
        <v>8</v>
      </c>
      <c r="F113" t="s">
        <v>167</v>
      </c>
    </row>
    <row r="114" spans="1:6" x14ac:dyDescent="0.2">
      <c r="A114">
        <v>10005</v>
      </c>
      <c r="B114">
        <v>54480</v>
      </c>
      <c r="C114">
        <v>-81</v>
      </c>
      <c r="D114">
        <v>0.52</v>
      </c>
      <c r="E114" t="s">
        <v>6</v>
      </c>
      <c r="F114" t="s">
        <v>167</v>
      </c>
    </row>
    <row r="115" spans="1:6" x14ac:dyDescent="0.2">
      <c r="A115">
        <v>10004</v>
      </c>
      <c r="B115">
        <v>54480</v>
      </c>
      <c r="C115">
        <v>-92</v>
      </c>
      <c r="D115">
        <v>2.0699999999999998</v>
      </c>
      <c r="E115" t="s">
        <v>6</v>
      </c>
      <c r="F115" t="s">
        <v>167</v>
      </c>
    </row>
    <row r="116" spans="1:6" x14ac:dyDescent="0.2">
      <c r="A116">
        <v>10006</v>
      </c>
      <c r="B116">
        <v>54480</v>
      </c>
      <c r="C116">
        <v>-46</v>
      </c>
      <c r="D116">
        <v>0.01</v>
      </c>
      <c r="E116" t="s">
        <v>8</v>
      </c>
      <c r="F116" t="s">
        <v>168</v>
      </c>
    </row>
    <row r="117" spans="1:6" x14ac:dyDescent="0.2">
      <c r="A117">
        <v>10005</v>
      </c>
      <c r="B117">
        <v>54480</v>
      </c>
      <c r="C117">
        <v>-81</v>
      </c>
      <c r="D117">
        <v>0.52</v>
      </c>
      <c r="E117" t="s">
        <v>6</v>
      </c>
      <c r="F117" t="s">
        <v>168</v>
      </c>
    </row>
    <row r="118" spans="1:6" x14ac:dyDescent="0.2">
      <c r="A118">
        <v>10004</v>
      </c>
      <c r="B118">
        <v>54480</v>
      </c>
      <c r="C118">
        <v>-92</v>
      </c>
      <c r="D118">
        <v>2.08</v>
      </c>
      <c r="E118" t="s">
        <v>6</v>
      </c>
      <c r="F118" t="s">
        <v>168</v>
      </c>
    </row>
    <row r="119" spans="1:6" x14ac:dyDescent="0.2">
      <c r="A119">
        <v>10004</v>
      </c>
      <c r="B119">
        <v>54480</v>
      </c>
      <c r="C119">
        <v>0</v>
      </c>
      <c r="D119">
        <v>-1</v>
      </c>
      <c r="F119" t="s">
        <v>169</v>
      </c>
    </row>
    <row r="120" spans="1:6" x14ac:dyDescent="0.2">
      <c r="A120">
        <v>10006</v>
      </c>
      <c r="B120">
        <v>54480</v>
      </c>
      <c r="C120">
        <v>-45</v>
      </c>
      <c r="D120">
        <v>0.01</v>
      </c>
      <c r="E120" t="s">
        <v>8</v>
      </c>
      <c r="F120" t="s">
        <v>169</v>
      </c>
    </row>
    <row r="121" spans="1:6" x14ac:dyDescent="0.2">
      <c r="A121">
        <v>10005</v>
      </c>
      <c r="B121">
        <v>54480</v>
      </c>
      <c r="C121">
        <v>-81</v>
      </c>
      <c r="D121">
        <v>0.52</v>
      </c>
      <c r="E121" t="s">
        <v>6</v>
      </c>
      <c r="F121" t="s">
        <v>169</v>
      </c>
    </row>
    <row r="122" spans="1:6" x14ac:dyDescent="0.2">
      <c r="A122">
        <v>10006</v>
      </c>
      <c r="B122">
        <v>54480</v>
      </c>
      <c r="C122">
        <v>0</v>
      </c>
      <c r="D122">
        <v>-1</v>
      </c>
      <c r="F122" t="s">
        <v>170</v>
      </c>
    </row>
    <row r="123" spans="1:6" x14ac:dyDescent="0.2">
      <c r="A123">
        <v>10005</v>
      </c>
      <c r="B123">
        <v>54480</v>
      </c>
      <c r="C123">
        <v>-80</v>
      </c>
      <c r="D123">
        <v>0.51</v>
      </c>
      <c r="E123" t="s">
        <v>6</v>
      </c>
      <c r="F123" t="s">
        <v>170</v>
      </c>
    </row>
    <row r="124" spans="1:6" x14ac:dyDescent="0.2">
      <c r="A124">
        <v>10004</v>
      </c>
      <c r="B124">
        <v>54480</v>
      </c>
      <c r="C124">
        <v>-92</v>
      </c>
      <c r="D124">
        <v>2.09</v>
      </c>
      <c r="E124" t="s">
        <v>6</v>
      </c>
      <c r="F124" t="s">
        <v>170</v>
      </c>
    </row>
    <row r="125" spans="1:6" x14ac:dyDescent="0.2">
      <c r="A125">
        <v>10004</v>
      </c>
      <c r="B125">
        <v>54480</v>
      </c>
      <c r="C125">
        <v>0</v>
      </c>
      <c r="D125">
        <v>-1</v>
      </c>
      <c r="F125" t="s">
        <v>171</v>
      </c>
    </row>
    <row r="126" spans="1:6" x14ac:dyDescent="0.2">
      <c r="A126">
        <v>10006</v>
      </c>
      <c r="B126">
        <v>54480</v>
      </c>
      <c r="C126">
        <v>-45</v>
      </c>
      <c r="D126">
        <v>0.01</v>
      </c>
      <c r="E126" t="s">
        <v>8</v>
      </c>
      <c r="F126" t="s">
        <v>171</v>
      </c>
    </row>
    <row r="127" spans="1:6" x14ac:dyDescent="0.2">
      <c r="A127">
        <v>10005</v>
      </c>
      <c r="B127">
        <v>54480</v>
      </c>
      <c r="C127">
        <v>-80</v>
      </c>
      <c r="D127">
        <v>0.5</v>
      </c>
      <c r="E127" t="s">
        <v>6</v>
      </c>
      <c r="F127" t="s">
        <v>171</v>
      </c>
    </row>
    <row r="128" spans="1:6" x14ac:dyDescent="0.2">
      <c r="A128">
        <v>10006</v>
      </c>
      <c r="B128">
        <v>54480</v>
      </c>
      <c r="C128">
        <v>-46</v>
      </c>
      <c r="D128">
        <v>0.01</v>
      </c>
      <c r="E128" t="s">
        <v>8</v>
      </c>
      <c r="F128" t="s">
        <v>172</v>
      </c>
    </row>
    <row r="129" spans="1:6" x14ac:dyDescent="0.2">
      <c r="A129">
        <v>10005</v>
      </c>
      <c r="B129">
        <v>54480</v>
      </c>
      <c r="C129">
        <v>-80</v>
      </c>
      <c r="D129">
        <v>0.49</v>
      </c>
      <c r="E129" t="s">
        <v>6</v>
      </c>
      <c r="F129" t="s">
        <v>172</v>
      </c>
    </row>
    <row r="130" spans="1:6" x14ac:dyDescent="0.2">
      <c r="A130">
        <v>10004</v>
      </c>
      <c r="B130">
        <v>54480</v>
      </c>
      <c r="C130">
        <v>-92</v>
      </c>
      <c r="D130">
        <v>2.1</v>
      </c>
      <c r="E130" t="s">
        <v>6</v>
      </c>
      <c r="F130" t="s">
        <v>172</v>
      </c>
    </row>
    <row r="131" spans="1:6" x14ac:dyDescent="0.2">
      <c r="A131">
        <v>10006</v>
      </c>
      <c r="B131">
        <v>54480</v>
      </c>
      <c r="C131">
        <v>-45</v>
      </c>
      <c r="D131">
        <v>0.01</v>
      </c>
      <c r="E131" t="s">
        <v>8</v>
      </c>
      <c r="F131" t="s">
        <v>173</v>
      </c>
    </row>
    <row r="132" spans="1:6" x14ac:dyDescent="0.2">
      <c r="A132">
        <v>10005</v>
      </c>
      <c r="B132">
        <v>54480</v>
      </c>
      <c r="C132">
        <v>-80</v>
      </c>
      <c r="D132">
        <v>0.49</v>
      </c>
      <c r="E132" t="s">
        <v>6</v>
      </c>
      <c r="F132" t="s">
        <v>173</v>
      </c>
    </row>
    <row r="133" spans="1:6" x14ac:dyDescent="0.2">
      <c r="A133">
        <v>10004</v>
      </c>
      <c r="B133">
        <v>54480</v>
      </c>
      <c r="C133">
        <v>-93</v>
      </c>
      <c r="D133">
        <v>2.14</v>
      </c>
      <c r="E133" t="s">
        <v>6</v>
      </c>
      <c r="F133" t="s">
        <v>173</v>
      </c>
    </row>
    <row r="134" spans="1:6" x14ac:dyDescent="0.2">
      <c r="A134">
        <v>10006</v>
      </c>
      <c r="B134">
        <v>54480</v>
      </c>
      <c r="C134">
        <v>-46</v>
      </c>
      <c r="D134">
        <v>0.01</v>
      </c>
      <c r="E134" t="s">
        <v>8</v>
      </c>
      <c r="F134" t="s">
        <v>174</v>
      </c>
    </row>
    <row r="135" spans="1:6" x14ac:dyDescent="0.2">
      <c r="A135">
        <v>10005</v>
      </c>
      <c r="B135">
        <v>54480</v>
      </c>
      <c r="C135">
        <v>-80</v>
      </c>
      <c r="D135">
        <v>0.48</v>
      </c>
      <c r="E135" t="s">
        <v>6</v>
      </c>
      <c r="F135" t="s">
        <v>174</v>
      </c>
    </row>
    <row r="136" spans="1:6" x14ac:dyDescent="0.2">
      <c r="A136">
        <v>10004</v>
      </c>
      <c r="B136">
        <v>54480</v>
      </c>
      <c r="C136">
        <v>-93</v>
      </c>
      <c r="D136">
        <v>2.17</v>
      </c>
      <c r="E136" t="s">
        <v>6</v>
      </c>
      <c r="F136" t="s">
        <v>174</v>
      </c>
    </row>
    <row r="137" spans="1:6" x14ac:dyDescent="0.2">
      <c r="A137">
        <v>10006</v>
      </c>
      <c r="B137">
        <v>54480</v>
      </c>
      <c r="C137">
        <v>-45</v>
      </c>
      <c r="D137">
        <v>0.01</v>
      </c>
      <c r="E137" t="s">
        <v>8</v>
      </c>
      <c r="F137" t="s">
        <v>175</v>
      </c>
    </row>
    <row r="138" spans="1:6" x14ac:dyDescent="0.2">
      <c r="A138">
        <v>10005</v>
      </c>
      <c r="B138">
        <v>54480</v>
      </c>
      <c r="C138">
        <v>-80</v>
      </c>
      <c r="D138">
        <v>0.48</v>
      </c>
      <c r="E138" t="s">
        <v>6</v>
      </c>
      <c r="F138" t="s">
        <v>175</v>
      </c>
    </row>
    <row r="139" spans="1:6" x14ac:dyDescent="0.2">
      <c r="A139">
        <v>10004</v>
      </c>
      <c r="B139">
        <v>54480</v>
      </c>
      <c r="C139">
        <v>-92</v>
      </c>
      <c r="D139">
        <v>2.17</v>
      </c>
      <c r="E139" t="s">
        <v>6</v>
      </c>
      <c r="F139" t="s">
        <v>175</v>
      </c>
    </row>
    <row r="140" spans="1:6" x14ac:dyDescent="0.2">
      <c r="A140">
        <v>10006</v>
      </c>
      <c r="B140">
        <v>54480</v>
      </c>
      <c r="C140">
        <v>-46</v>
      </c>
      <c r="D140">
        <v>0.01</v>
      </c>
      <c r="E140" t="s">
        <v>8</v>
      </c>
      <c r="F140" t="s">
        <v>176</v>
      </c>
    </row>
    <row r="141" spans="1:6" x14ac:dyDescent="0.2">
      <c r="A141">
        <v>10005</v>
      </c>
      <c r="B141">
        <v>54480</v>
      </c>
      <c r="C141">
        <v>-81</v>
      </c>
      <c r="D141">
        <v>0.49</v>
      </c>
      <c r="E141" t="s">
        <v>6</v>
      </c>
      <c r="F141" t="s">
        <v>176</v>
      </c>
    </row>
    <row r="142" spans="1:6" x14ac:dyDescent="0.2">
      <c r="A142">
        <v>10004</v>
      </c>
      <c r="B142">
        <v>54480</v>
      </c>
      <c r="C142">
        <v>-92</v>
      </c>
      <c r="D142">
        <v>2.17</v>
      </c>
      <c r="E142" t="s">
        <v>6</v>
      </c>
      <c r="F142" t="s">
        <v>176</v>
      </c>
    </row>
    <row r="143" spans="1:6" x14ac:dyDescent="0.2">
      <c r="A143">
        <v>10006</v>
      </c>
      <c r="B143">
        <v>54480</v>
      </c>
      <c r="C143">
        <v>-45</v>
      </c>
      <c r="D143">
        <v>0.01</v>
      </c>
      <c r="E143" t="s">
        <v>8</v>
      </c>
      <c r="F143" t="s">
        <v>177</v>
      </c>
    </row>
    <row r="144" spans="1:6" x14ac:dyDescent="0.2">
      <c r="A144">
        <v>10005</v>
      </c>
      <c r="B144">
        <v>54480</v>
      </c>
      <c r="C144">
        <v>-81</v>
      </c>
      <c r="D144">
        <v>0.49</v>
      </c>
      <c r="E144" t="s">
        <v>6</v>
      </c>
      <c r="F144" t="s">
        <v>177</v>
      </c>
    </row>
    <row r="145" spans="1:6" x14ac:dyDescent="0.2">
      <c r="A145">
        <v>10004</v>
      </c>
      <c r="B145">
        <v>54480</v>
      </c>
      <c r="C145">
        <v>-93</v>
      </c>
      <c r="D145">
        <v>2.2000000000000002</v>
      </c>
      <c r="E145" t="s">
        <v>6</v>
      </c>
      <c r="F145" t="s">
        <v>177</v>
      </c>
    </row>
    <row r="146" spans="1:6" x14ac:dyDescent="0.2">
      <c r="A146">
        <v>10006</v>
      </c>
      <c r="B146">
        <v>54480</v>
      </c>
      <c r="C146">
        <v>-45</v>
      </c>
      <c r="D146">
        <v>0.01</v>
      </c>
      <c r="E146" t="s">
        <v>8</v>
      </c>
      <c r="F146" t="s">
        <v>178</v>
      </c>
    </row>
    <row r="147" spans="1:6" x14ac:dyDescent="0.2">
      <c r="A147">
        <v>10005</v>
      </c>
      <c r="B147">
        <v>54480</v>
      </c>
      <c r="C147">
        <v>-82</v>
      </c>
      <c r="D147">
        <v>0.51</v>
      </c>
      <c r="E147" t="s">
        <v>6</v>
      </c>
      <c r="F147" t="s">
        <v>178</v>
      </c>
    </row>
    <row r="148" spans="1:6" x14ac:dyDescent="0.2">
      <c r="A148">
        <v>10004</v>
      </c>
      <c r="B148">
        <v>54480</v>
      </c>
      <c r="C148">
        <v>-91</v>
      </c>
      <c r="D148">
        <v>2.16</v>
      </c>
      <c r="E148" t="s">
        <v>6</v>
      </c>
      <c r="F148" t="s">
        <v>178</v>
      </c>
    </row>
    <row r="149" spans="1:6" x14ac:dyDescent="0.2">
      <c r="A149">
        <v>10006</v>
      </c>
      <c r="B149">
        <v>54480</v>
      </c>
      <c r="C149">
        <v>-45</v>
      </c>
      <c r="D149">
        <v>0.01</v>
      </c>
      <c r="E149" t="s">
        <v>8</v>
      </c>
      <c r="F149" t="s">
        <v>179</v>
      </c>
    </row>
    <row r="150" spans="1:6" x14ac:dyDescent="0.2">
      <c r="A150">
        <v>10005</v>
      </c>
      <c r="B150">
        <v>54480</v>
      </c>
      <c r="C150">
        <v>-81</v>
      </c>
      <c r="D150">
        <v>0.51</v>
      </c>
      <c r="E150" t="s">
        <v>6</v>
      </c>
      <c r="F150" t="s">
        <v>179</v>
      </c>
    </row>
    <row r="151" spans="1:6" x14ac:dyDescent="0.2">
      <c r="A151">
        <v>10004</v>
      </c>
      <c r="B151">
        <v>54480</v>
      </c>
      <c r="C151">
        <v>-91</v>
      </c>
      <c r="D151">
        <v>2.13</v>
      </c>
      <c r="E151" t="s">
        <v>6</v>
      </c>
      <c r="F151" t="s">
        <v>179</v>
      </c>
    </row>
    <row r="152" spans="1:6" x14ac:dyDescent="0.2">
      <c r="A152">
        <v>10004</v>
      </c>
      <c r="B152">
        <v>54480</v>
      </c>
      <c r="C152">
        <v>0</v>
      </c>
      <c r="D152">
        <v>-1</v>
      </c>
      <c r="F152" t="s">
        <v>180</v>
      </c>
    </row>
    <row r="153" spans="1:6" x14ac:dyDescent="0.2">
      <c r="A153">
        <v>10006</v>
      </c>
      <c r="B153">
        <v>54480</v>
      </c>
      <c r="C153">
        <v>-45</v>
      </c>
      <c r="D153">
        <v>0.01</v>
      </c>
      <c r="E153" t="s">
        <v>8</v>
      </c>
      <c r="F153" t="s">
        <v>180</v>
      </c>
    </row>
    <row r="154" spans="1:6" x14ac:dyDescent="0.2">
      <c r="A154">
        <v>10005</v>
      </c>
      <c r="B154">
        <v>54480</v>
      </c>
      <c r="C154">
        <v>-82</v>
      </c>
      <c r="D154">
        <v>0.53</v>
      </c>
      <c r="E154" t="s">
        <v>6</v>
      </c>
      <c r="F154" t="s">
        <v>180</v>
      </c>
    </row>
    <row r="155" spans="1:6" x14ac:dyDescent="0.2">
      <c r="A155">
        <v>10004</v>
      </c>
      <c r="B155">
        <v>54480</v>
      </c>
      <c r="C155">
        <v>0</v>
      </c>
      <c r="D155">
        <v>-1</v>
      </c>
      <c r="F155" t="s">
        <v>181</v>
      </c>
    </row>
    <row r="156" spans="1:6" x14ac:dyDescent="0.2">
      <c r="A156">
        <v>10006</v>
      </c>
      <c r="B156">
        <v>54480</v>
      </c>
      <c r="C156">
        <v>-45</v>
      </c>
      <c r="D156">
        <v>0.01</v>
      </c>
      <c r="E156" t="s">
        <v>8</v>
      </c>
      <c r="F156" t="s">
        <v>181</v>
      </c>
    </row>
    <row r="157" spans="1:6" x14ac:dyDescent="0.2">
      <c r="A157">
        <v>10005</v>
      </c>
      <c r="B157">
        <v>54480</v>
      </c>
      <c r="C157">
        <v>-81</v>
      </c>
      <c r="D157">
        <v>0.53</v>
      </c>
      <c r="E157" t="s">
        <v>6</v>
      </c>
      <c r="F157" t="s">
        <v>181</v>
      </c>
    </row>
    <row r="158" spans="1:6" x14ac:dyDescent="0.2">
      <c r="A158">
        <v>10006</v>
      </c>
      <c r="B158">
        <v>54480</v>
      </c>
      <c r="C158">
        <v>-45</v>
      </c>
      <c r="D158">
        <v>0.01</v>
      </c>
      <c r="E158" t="s">
        <v>8</v>
      </c>
      <c r="F158" t="s">
        <v>182</v>
      </c>
    </row>
    <row r="159" spans="1:6" x14ac:dyDescent="0.2">
      <c r="A159">
        <v>10005</v>
      </c>
      <c r="B159">
        <v>54480</v>
      </c>
      <c r="C159">
        <v>-82</v>
      </c>
      <c r="D159">
        <v>0.54</v>
      </c>
      <c r="E159" t="s">
        <v>6</v>
      </c>
      <c r="F159" t="s">
        <v>182</v>
      </c>
    </row>
    <row r="160" spans="1:6" x14ac:dyDescent="0.2">
      <c r="A160">
        <v>10004</v>
      </c>
      <c r="B160">
        <v>54480</v>
      </c>
      <c r="C160">
        <v>-94</v>
      </c>
      <c r="D160">
        <v>2.1800000000000002</v>
      </c>
      <c r="E160" t="s">
        <v>6</v>
      </c>
      <c r="F160" t="s">
        <v>182</v>
      </c>
    </row>
    <row r="161" spans="1:6" x14ac:dyDescent="0.2">
      <c r="A161">
        <v>10006</v>
      </c>
      <c r="B161">
        <v>54480</v>
      </c>
      <c r="C161">
        <v>-45</v>
      </c>
      <c r="D161">
        <v>0.01</v>
      </c>
      <c r="E161" t="s">
        <v>8</v>
      </c>
      <c r="F161" t="s">
        <v>183</v>
      </c>
    </row>
    <row r="162" spans="1:6" x14ac:dyDescent="0.2">
      <c r="A162">
        <v>10005</v>
      </c>
      <c r="B162">
        <v>54480</v>
      </c>
      <c r="C162">
        <v>-81</v>
      </c>
      <c r="D162">
        <v>0.54</v>
      </c>
      <c r="E162" t="s">
        <v>6</v>
      </c>
      <c r="F162" t="s">
        <v>183</v>
      </c>
    </row>
    <row r="163" spans="1:6" x14ac:dyDescent="0.2">
      <c r="A163">
        <v>10004</v>
      </c>
      <c r="B163">
        <v>54480</v>
      </c>
      <c r="C163">
        <v>-94</v>
      </c>
      <c r="D163">
        <v>2.25</v>
      </c>
      <c r="E163" t="s">
        <v>6</v>
      </c>
      <c r="F163" t="s">
        <v>183</v>
      </c>
    </row>
    <row r="164" spans="1:6" x14ac:dyDescent="0.2">
      <c r="A164">
        <v>10004</v>
      </c>
      <c r="B164">
        <v>54480</v>
      </c>
      <c r="C164">
        <v>0</v>
      </c>
      <c r="D164">
        <v>-1</v>
      </c>
      <c r="F164" t="s">
        <v>184</v>
      </c>
    </row>
    <row r="165" spans="1:6" x14ac:dyDescent="0.2">
      <c r="A165">
        <v>10006</v>
      </c>
      <c r="B165">
        <v>54480</v>
      </c>
      <c r="C165">
        <v>-45</v>
      </c>
      <c r="D165">
        <v>0.01</v>
      </c>
      <c r="E165" t="s">
        <v>8</v>
      </c>
      <c r="F165" t="s">
        <v>184</v>
      </c>
    </row>
    <row r="166" spans="1:6" x14ac:dyDescent="0.2">
      <c r="A166">
        <v>10005</v>
      </c>
      <c r="B166">
        <v>54480</v>
      </c>
      <c r="C166">
        <v>-82</v>
      </c>
      <c r="D166">
        <v>0.55000000000000004</v>
      </c>
      <c r="E166" t="s">
        <v>6</v>
      </c>
      <c r="F166" t="s">
        <v>184</v>
      </c>
    </row>
    <row r="167" spans="1:6" x14ac:dyDescent="0.2">
      <c r="A167">
        <v>10004</v>
      </c>
      <c r="B167">
        <v>54480</v>
      </c>
      <c r="C167">
        <v>0</v>
      </c>
      <c r="D167">
        <v>-1</v>
      </c>
      <c r="F167" t="s">
        <v>185</v>
      </c>
    </row>
    <row r="168" spans="1:6" x14ac:dyDescent="0.2">
      <c r="A168">
        <v>10006</v>
      </c>
      <c r="B168">
        <v>54480</v>
      </c>
      <c r="C168">
        <v>-45</v>
      </c>
      <c r="D168">
        <v>0.01</v>
      </c>
      <c r="E168" t="s">
        <v>8</v>
      </c>
      <c r="F168" t="s">
        <v>185</v>
      </c>
    </row>
    <row r="169" spans="1:6" x14ac:dyDescent="0.2">
      <c r="A169">
        <v>10005</v>
      </c>
      <c r="B169">
        <v>54480</v>
      </c>
      <c r="C169">
        <v>-82</v>
      </c>
      <c r="D169">
        <v>0.55000000000000004</v>
      </c>
      <c r="E169" t="s">
        <v>6</v>
      </c>
      <c r="F169" t="s">
        <v>185</v>
      </c>
    </row>
    <row r="170" spans="1:6" x14ac:dyDescent="0.2">
      <c r="A170">
        <v>10004</v>
      </c>
      <c r="B170">
        <v>54480</v>
      </c>
      <c r="C170">
        <v>0</v>
      </c>
      <c r="D170">
        <v>-1</v>
      </c>
      <c r="F170" t="s">
        <v>186</v>
      </c>
    </row>
    <row r="171" spans="1:6" x14ac:dyDescent="0.2">
      <c r="A171">
        <v>10006</v>
      </c>
      <c r="B171">
        <v>54480</v>
      </c>
      <c r="C171">
        <v>-45</v>
      </c>
      <c r="D171">
        <v>0.01</v>
      </c>
      <c r="E171" t="s">
        <v>8</v>
      </c>
      <c r="F171" t="s">
        <v>186</v>
      </c>
    </row>
    <row r="172" spans="1:6" x14ac:dyDescent="0.2">
      <c r="A172">
        <v>10005</v>
      </c>
      <c r="B172">
        <v>54480</v>
      </c>
      <c r="C172">
        <v>-84</v>
      </c>
      <c r="D172">
        <v>0.57999999999999996</v>
      </c>
      <c r="E172" t="s">
        <v>6</v>
      </c>
      <c r="F172" t="s">
        <v>186</v>
      </c>
    </row>
    <row r="173" spans="1:6" x14ac:dyDescent="0.2">
      <c r="A173">
        <v>10004</v>
      </c>
      <c r="B173">
        <v>54480</v>
      </c>
      <c r="C173">
        <v>0</v>
      </c>
      <c r="D173">
        <v>-1</v>
      </c>
      <c r="F173" t="s">
        <v>187</v>
      </c>
    </row>
    <row r="174" spans="1:6" x14ac:dyDescent="0.2">
      <c r="A174">
        <v>10006</v>
      </c>
      <c r="B174">
        <v>54480</v>
      </c>
      <c r="C174">
        <v>-45</v>
      </c>
      <c r="D174">
        <v>0.01</v>
      </c>
      <c r="E174" t="s">
        <v>8</v>
      </c>
      <c r="F174" t="s">
        <v>187</v>
      </c>
    </row>
    <row r="175" spans="1:6" x14ac:dyDescent="0.2">
      <c r="A175">
        <v>10005</v>
      </c>
      <c r="B175">
        <v>54480</v>
      </c>
      <c r="C175">
        <v>-82</v>
      </c>
      <c r="D175">
        <v>0.57999999999999996</v>
      </c>
      <c r="E175" t="s">
        <v>6</v>
      </c>
      <c r="F175" t="s">
        <v>187</v>
      </c>
    </row>
    <row r="176" spans="1:6" x14ac:dyDescent="0.2">
      <c r="A176">
        <v>10004</v>
      </c>
      <c r="B176">
        <v>54480</v>
      </c>
      <c r="C176">
        <v>0</v>
      </c>
      <c r="D176">
        <v>-1</v>
      </c>
      <c r="F176" t="s">
        <v>188</v>
      </c>
    </row>
    <row r="177" spans="1:6" x14ac:dyDescent="0.2">
      <c r="A177">
        <v>10006</v>
      </c>
      <c r="B177">
        <v>54480</v>
      </c>
      <c r="C177">
        <v>-45</v>
      </c>
      <c r="D177">
        <v>0.01</v>
      </c>
      <c r="E177" t="s">
        <v>8</v>
      </c>
      <c r="F177" t="s">
        <v>188</v>
      </c>
    </row>
    <row r="178" spans="1:6" x14ac:dyDescent="0.2">
      <c r="A178">
        <v>10005</v>
      </c>
      <c r="B178">
        <v>54480</v>
      </c>
      <c r="C178">
        <v>-82</v>
      </c>
      <c r="D178">
        <v>0.59</v>
      </c>
      <c r="E178" t="s">
        <v>6</v>
      </c>
      <c r="F178" t="s">
        <v>188</v>
      </c>
    </row>
  </sheetData>
  <autoFilter ref="A1:F178" xr:uid="{00000000-0009-0000-0000-00000200000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352"/>
  <sheetViews>
    <sheetView topLeftCell="A73" zoomScale="90" workbookViewId="0">
      <selection activeCell="A121" sqref="A121:XFD121"/>
    </sheetView>
  </sheetViews>
  <sheetFormatPr baseColWidth="10" defaultRowHeight="16" x14ac:dyDescent="0.2"/>
  <sheetData>
    <row r="1" spans="1:13" x14ac:dyDescent="0.2">
      <c r="A1" t="s">
        <v>0</v>
      </c>
      <c r="B1" t="s">
        <v>1</v>
      </c>
      <c r="C1" t="s">
        <v>2</v>
      </c>
      <c r="D1" t="s">
        <v>3</v>
      </c>
      <c r="E1" t="s">
        <v>4</v>
      </c>
      <c r="F1" t="s">
        <v>5</v>
      </c>
      <c r="J1" t="s">
        <v>189</v>
      </c>
      <c r="K1">
        <v>10004</v>
      </c>
      <c r="L1">
        <v>10005</v>
      </c>
      <c r="M1">
        <v>10006</v>
      </c>
    </row>
    <row r="2" spans="1:13" x14ac:dyDescent="0.2">
      <c r="A2">
        <v>10004</v>
      </c>
      <c r="B2">
        <v>54480</v>
      </c>
      <c r="C2">
        <v>-60</v>
      </c>
      <c r="D2">
        <v>0.04</v>
      </c>
      <c r="E2" t="s">
        <v>8</v>
      </c>
      <c r="F2" t="s">
        <v>201</v>
      </c>
      <c r="K2" t="s">
        <v>2</v>
      </c>
      <c r="L2" t="s">
        <v>2</v>
      </c>
      <c r="M2" t="s">
        <v>2</v>
      </c>
    </row>
    <row r="3" spans="1:13" x14ac:dyDescent="0.2">
      <c r="A3">
        <v>10005</v>
      </c>
      <c r="B3">
        <v>54480</v>
      </c>
      <c r="C3">
        <v>-87</v>
      </c>
      <c r="D3">
        <v>1.1399999999999999</v>
      </c>
      <c r="E3" t="s">
        <v>6</v>
      </c>
      <c r="F3" t="s">
        <v>201</v>
      </c>
      <c r="J3">
        <v>1</v>
      </c>
      <c r="K3">
        <v>-60</v>
      </c>
      <c r="L3">
        <v>-87</v>
      </c>
    </row>
    <row r="4" spans="1:13" x14ac:dyDescent="0.2">
      <c r="A4">
        <v>10004</v>
      </c>
      <c r="B4">
        <v>54480</v>
      </c>
      <c r="C4">
        <v>-60</v>
      </c>
      <c r="D4">
        <v>0.04</v>
      </c>
      <c r="E4" t="s">
        <v>8</v>
      </c>
      <c r="F4" t="s">
        <v>202</v>
      </c>
      <c r="J4">
        <v>2</v>
      </c>
      <c r="K4">
        <v>-60</v>
      </c>
      <c r="L4">
        <v>-87</v>
      </c>
    </row>
    <row r="5" spans="1:13" x14ac:dyDescent="0.2">
      <c r="A5">
        <v>10005</v>
      </c>
      <c r="B5">
        <v>54480</v>
      </c>
      <c r="C5">
        <v>-87</v>
      </c>
      <c r="D5">
        <v>1.1399999999999999</v>
      </c>
      <c r="E5" t="s">
        <v>6</v>
      </c>
      <c r="F5" t="s">
        <v>202</v>
      </c>
      <c r="J5">
        <v>3</v>
      </c>
      <c r="K5">
        <v>-54</v>
      </c>
      <c r="L5">
        <v>-88</v>
      </c>
    </row>
    <row r="6" spans="1:13" x14ac:dyDescent="0.2">
      <c r="A6">
        <v>10004</v>
      </c>
      <c r="B6">
        <v>54480</v>
      </c>
      <c r="C6">
        <v>-54</v>
      </c>
      <c r="D6">
        <v>0.02</v>
      </c>
      <c r="E6" t="s">
        <v>8</v>
      </c>
      <c r="F6" t="s">
        <v>203</v>
      </c>
      <c r="J6">
        <v>4</v>
      </c>
      <c r="L6">
        <v>-88</v>
      </c>
    </row>
    <row r="7" spans="1:13" x14ac:dyDescent="0.2">
      <c r="A7">
        <v>10005</v>
      </c>
      <c r="B7">
        <v>54480</v>
      </c>
      <c r="C7">
        <v>-88</v>
      </c>
      <c r="D7">
        <v>1.21</v>
      </c>
      <c r="E7" t="s">
        <v>6</v>
      </c>
      <c r="F7" t="s">
        <v>203</v>
      </c>
      <c r="J7">
        <v>5</v>
      </c>
      <c r="K7">
        <v>-61</v>
      </c>
      <c r="L7">
        <v>-85</v>
      </c>
    </row>
    <row r="8" spans="1:13" x14ac:dyDescent="0.2">
      <c r="A8">
        <v>10004</v>
      </c>
      <c r="B8">
        <v>54480</v>
      </c>
      <c r="C8">
        <v>0</v>
      </c>
      <c r="D8">
        <v>-1</v>
      </c>
      <c r="F8" t="s">
        <v>204</v>
      </c>
      <c r="J8">
        <v>6</v>
      </c>
      <c r="K8">
        <v>-54</v>
      </c>
      <c r="L8">
        <v>-85</v>
      </c>
    </row>
    <row r="9" spans="1:13" x14ac:dyDescent="0.2">
      <c r="A9">
        <v>10005</v>
      </c>
      <c r="B9">
        <v>54480</v>
      </c>
      <c r="C9">
        <v>-88</v>
      </c>
      <c r="D9">
        <v>1.24</v>
      </c>
      <c r="E9" t="s">
        <v>6</v>
      </c>
      <c r="F9" t="s">
        <v>204</v>
      </c>
      <c r="J9">
        <v>7</v>
      </c>
      <c r="L9">
        <v>-92</v>
      </c>
      <c r="M9">
        <v>-95</v>
      </c>
    </row>
    <row r="10" spans="1:13" x14ac:dyDescent="0.2">
      <c r="A10">
        <v>10004</v>
      </c>
      <c r="B10">
        <v>54480</v>
      </c>
      <c r="C10">
        <v>-61</v>
      </c>
      <c r="D10">
        <v>0.04</v>
      </c>
      <c r="E10" t="s">
        <v>8</v>
      </c>
      <c r="F10" t="s">
        <v>205</v>
      </c>
      <c r="J10">
        <v>8</v>
      </c>
      <c r="K10">
        <v>-51</v>
      </c>
      <c r="L10">
        <v>-86</v>
      </c>
    </row>
    <row r="11" spans="1:13" x14ac:dyDescent="0.2">
      <c r="A11">
        <v>10005</v>
      </c>
      <c r="B11">
        <v>54480</v>
      </c>
      <c r="C11">
        <v>-85</v>
      </c>
      <c r="D11">
        <v>1.0900000000000001</v>
      </c>
      <c r="E11" t="s">
        <v>6</v>
      </c>
      <c r="F11" t="s">
        <v>205</v>
      </c>
      <c r="J11">
        <v>9</v>
      </c>
      <c r="K11">
        <v>-67</v>
      </c>
      <c r="L11">
        <v>-86</v>
      </c>
    </row>
    <row r="12" spans="1:13" x14ac:dyDescent="0.2">
      <c r="A12">
        <v>10006</v>
      </c>
      <c r="B12">
        <v>54480</v>
      </c>
      <c r="C12">
        <v>-95</v>
      </c>
      <c r="D12">
        <v>3.16</v>
      </c>
      <c r="E12" t="s">
        <v>72</v>
      </c>
      <c r="F12" t="s">
        <v>205</v>
      </c>
      <c r="J12">
        <v>10</v>
      </c>
      <c r="K12">
        <v>-70</v>
      </c>
      <c r="L12">
        <v>-87</v>
      </c>
      <c r="M12">
        <v>-92</v>
      </c>
    </row>
    <row r="13" spans="1:13" x14ac:dyDescent="0.2">
      <c r="A13">
        <v>10006</v>
      </c>
      <c r="B13">
        <v>54480</v>
      </c>
      <c r="C13">
        <v>0</v>
      </c>
      <c r="D13">
        <v>-1</v>
      </c>
      <c r="F13" t="s">
        <v>206</v>
      </c>
      <c r="J13">
        <v>11</v>
      </c>
      <c r="K13">
        <v>-67</v>
      </c>
      <c r="L13">
        <v>-90</v>
      </c>
    </row>
    <row r="14" spans="1:13" x14ac:dyDescent="0.2">
      <c r="A14">
        <v>10004</v>
      </c>
      <c r="B14">
        <v>54480</v>
      </c>
      <c r="C14">
        <v>-54</v>
      </c>
      <c r="D14">
        <v>0.02</v>
      </c>
      <c r="E14" t="s">
        <v>8</v>
      </c>
      <c r="F14" t="s">
        <v>206</v>
      </c>
      <c r="J14">
        <v>12</v>
      </c>
      <c r="K14">
        <v>-64</v>
      </c>
    </row>
    <row r="15" spans="1:13" x14ac:dyDescent="0.2">
      <c r="A15">
        <v>10005</v>
      </c>
      <c r="B15">
        <v>54480</v>
      </c>
      <c r="C15">
        <v>-85</v>
      </c>
      <c r="D15">
        <v>1.01</v>
      </c>
      <c r="E15" t="s">
        <v>6</v>
      </c>
      <c r="F15" t="s">
        <v>206</v>
      </c>
      <c r="J15">
        <v>13</v>
      </c>
      <c r="K15">
        <v>-64</v>
      </c>
      <c r="L15">
        <v>-87</v>
      </c>
      <c r="M15">
        <v>-90</v>
      </c>
    </row>
    <row r="16" spans="1:13" x14ac:dyDescent="0.2">
      <c r="A16">
        <v>10004</v>
      </c>
      <c r="B16">
        <v>54480</v>
      </c>
      <c r="C16">
        <v>0</v>
      </c>
      <c r="D16">
        <v>-1</v>
      </c>
      <c r="F16" t="s">
        <v>207</v>
      </c>
      <c r="J16">
        <v>14</v>
      </c>
      <c r="K16">
        <v>-63</v>
      </c>
      <c r="M16">
        <v>-90</v>
      </c>
    </row>
    <row r="17" spans="1:13" x14ac:dyDescent="0.2">
      <c r="A17">
        <v>10006</v>
      </c>
      <c r="B17">
        <v>54480</v>
      </c>
      <c r="C17">
        <v>0</v>
      </c>
      <c r="D17">
        <v>-1</v>
      </c>
      <c r="F17" t="s">
        <v>207</v>
      </c>
      <c r="J17">
        <v>15</v>
      </c>
      <c r="K17">
        <v>-63</v>
      </c>
      <c r="L17">
        <v>-86</v>
      </c>
      <c r="M17">
        <v>-96</v>
      </c>
    </row>
    <row r="18" spans="1:13" x14ac:dyDescent="0.2">
      <c r="A18">
        <v>10005</v>
      </c>
      <c r="B18">
        <v>54480</v>
      </c>
      <c r="C18">
        <v>-92</v>
      </c>
      <c r="D18">
        <v>1.23</v>
      </c>
      <c r="E18" t="s">
        <v>6</v>
      </c>
      <c r="F18" t="s">
        <v>207</v>
      </c>
      <c r="J18">
        <v>16</v>
      </c>
      <c r="K18">
        <v>-63</v>
      </c>
      <c r="M18">
        <v>-96</v>
      </c>
    </row>
    <row r="19" spans="1:13" x14ac:dyDescent="0.2">
      <c r="A19">
        <v>10004</v>
      </c>
      <c r="B19">
        <v>54480</v>
      </c>
      <c r="C19">
        <v>-51</v>
      </c>
      <c r="D19">
        <v>0.01</v>
      </c>
      <c r="E19" t="s">
        <v>8</v>
      </c>
      <c r="F19" t="s">
        <v>208</v>
      </c>
      <c r="J19">
        <v>17</v>
      </c>
      <c r="K19">
        <v>-62</v>
      </c>
    </row>
    <row r="20" spans="1:13" x14ac:dyDescent="0.2">
      <c r="A20">
        <v>10005</v>
      </c>
      <c r="B20">
        <v>54480</v>
      </c>
      <c r="C20">
        <v>-86</v>
      </c>
      <c r="D20">
        <v>1.1399999999999999</v>
      </c>
      <c r="E20" t="s">
        <v>6</v>
      </c>
      <c r="F20" t="s">
        <v>208</v>
      </c>
      <c r="J20">
        <v>18</v>
      </c>
      <c r="K20">
        <v>-60</v>
      </c>
    </row>
    <row r="21" spans="1:13" x14ac:dyDescent="0.2">
      <c r="A21">
        <v>10006</v>
      </c>
      <c r="B21">
        <v>54480</v>
      </c>
      <c r="C21">
        <v>-92</v>
      </c>
      <c r="D21">
        <v>2.33</v>
      </c>
      <c r="E21" t="s">
        <v>72</v>
      </c>
      <c r="F21" t="s">
        <v>208</v>
      </c>
      <c r="J21">
        <v>19</v>
      </c>
      <c r="K21">
        <v>-60</v>
      </c>
    </row>
    <row r="22" spans="1:13" x14ac:dyDescent="0.2">
      <c r="A22">
        <v>10006</v>
      </c>
      <c r="B22">
        <v>54480</v>
      </c>
      <c r="C22">
        <v>0</v>
      </c>
      <c r="D22">
        <v>-1</v>
      </c>
      <c r="F22" t="s">
        <v>209</v>
      </c>
      <c r="J22">
        <v>20</v>
      </c>
      <c r="K22">
        <v>-59</v>
      </c>
    </row>
    <row r="23" spans="1:13" x14ac:dyDescent="0.2">
      <c r="A23">
        <v>10004</v>
      </c>
      <c r="B23">
        <v>54480</v>
      </c>
      <c r="C23">
        <v>-67</v>
      </c>
      <c r="D23">
        <v>0.08</v>
      </c>
      <c r="E23" t="s">
        <v>8</v>
      </c>
      <c r="F23" t="s">
        <v>209</v>
      </c>
      <c r="J23">
        <v>21</v>
      </c>
      <c r="K23">
        <v>-63</v>
      </c>
      <c r="L23">
        <v>-82</v>
      </c>
      <c r="M23">
        <v>-97</v>
      </c>
    </row>
    <row r="24" spans="1:13" x14ac:dyDescent="0.2">
      <c r="A24">
        <v>10005</v>
      </c>
      <c r="B24">
        <v>54480</v>
      </c>
      <c r="C24">
        <v>-86</v>
      </c>
      <c r="D24">
        <v>1.0900000000000001</v>
      </c>
      <c r="E24" t="s">
        <v>6</v>
      </c>
      <c r="F24" t="s">
        <v>209</v>
      </c>
      <c r="J24">
        <v>22</v>
      </c>
      <c r="K24">
        <v>-63</v>
      </c>
      <c r="M24">
        <v>-97</v>
      </c>
    </row>
    <row r="25" spans="1:13" x14ac:dyDescent="0.2">
      <c r="A25">
        <v>10006</v>
      </c>
      <c r="B25">
        <v>54480</v>
      </c>
      <c r="C25">
        <v>0</v>
      </c>
      <c r="D25">
        <v>-1</v>
      </c>
      <c r="F25" t="s">
        <v>210</v>
      </c>
      <c r="J25">
        <v>23</v>
      </c>
      <c r="K25">
        <v>-61</v>
      </c>
      <c r="L25">
        <v>-93</v>
      </c>
    </row>
    <row r="26" spans="1:13" x14ac:dyDescent="0.2">
      <c r="A26">
        <v>10004</v>
      </c>
      <c r="B26">
        <v>54480</v>
      </c>
      <c r="C26">
        <v>-70</v>
      </c>
      <c r="D26">
        <v>0.11</v>
      </c>
      <c r="E26" t="s">
        <v>8</v>
      </c>
      <c r="F26" t="s">
        <v>210</v>
      </c>
      <c r="J26">
        <v>24</v>
      </c>
      <c r="K26">
        <v>-61</v>
      </c>
    </row>
    <row r="27" spans="1:13" x14ac:dyDescent="0.2">
      <c r="A27">
        <v>10005</v>
      </c>
      <c r="B27">
        <v>54480</v>
      </c>
      <c r="C27">
        <v>-87</v>
      </c>
      <c r="D27">
        <v>1.1100000000000001</v>
      </c>
      <c r="E27" t="s">
        <v>6</v>
      </c>
      <c r="F27" t="s">
        <v>210</v>
      </c>
      <c r="J27">
        <v>25</v>
      </c>
      <c r="K27">
        <v>-62</v>
      </c>
      <c r="L27">
        <v>-93</v>
      </c>
    </row>
    <row r="28" spans="1:13" x14ac:dyDescent="0.2">
      <c r="A28">
        <v>10004</v>
      </c>
      <c r="B28">
        <v>54480</v>
      </c>
      <c r="C28">
        <v>-67</v>
      </c>
      <c r="D28">
        <v>0.09</v>
      </c>
      <c r="E28" t="s">
        <v>8</v>
      </c>
      <c r="F28" t="s">
        <v>211</v>
      </c>
      <c r="J28">
        <v>26</v>
      </c>
    </row>
    <row r="29" spans="1:13" x14ac:dyDescent="0.2">
      <c r="A29">
        <v>10005</v>
      </c>
      <c r="B29">
        <v>54480</v>
      </c>
      <c r="C29">
        <v>-90</v>
      </c>
      <c r="D29">
        <v>1.24</v>
      </c>
      <c r="E29" t="s">
        <v>6</v>
      </c>
      <c r="F29" t="s">
        <v>211</v>
      </c>
      <c r="J29">
        <v>27</v>
      </c>
      <c r="M29">
        <v>-86</v>
      </c>
    </row>
    <row r="30" spans="1:13" x14ac:dyDescent="0.2">
      <c r="A30">
        <v>10006</v>
      </c>
      <c r="B30">
        <v>54480</v>
      </c>
      <c r="C30">
        <v>-90</v>
      </c>
      <c r="D30">
        <v>1.89</v>
      </c>
      <c r="E30" t="s">
        <v>6</v>
      </c>
      <c r="F30" t="s">
        <v>211</v>
      </c>
      <c r="J30">
        <v>28</v>
      </c>
      <c r="L30">
        <v>-85</v>
      </c>
      <c r="M30">
        <v>-90</v>
      </c>
    </row>
    <row r="31" spans="1:13" x14ac:dyDescent="0.2">
      <c r="A31">
        <v>10005</v>
      </c>
      <c r="B31">
        <v>54480</v>
      </c>
      <c r="C31">
        <v>0</v>
      </c>
      <c r="D31">
        <v>-1</v>
      </c>
      <c r="F31" t="s">
        <v>212</v>
      </c>
      <c r="J31">
        <v>29</v>
      </c>
      <c r="K31">
        <v>-71</v>
      </c>
      <c r="L31">
        <v>-81</v>
      </c>
    </row>
    <row r="32" spans="1:13" x14ac:dyDescent="0.2">
      <c r="A32">
        <v>10004</v>
      </c>
      <c r="B32">
        <v>54480</v>
      </c>
      <c r="C32">
        <v>-64</v>
      </c>
      <c r="D32">
        <v>7.0000000000000007E-2</v>
      </c>
      <c r="E32" t="s">
        <v>8</v>
      </c>
      <c r="F32" t="s">
        <v>212</v>
      </c>
      <c r="J32">
        <v>30</v>
      </c>
      <c r="L32">
        <v>-81</v>
      </c>
      <c r="M32">
        <v>-88</v>
      </c>
    </row>
    <row r="33" spans="1:13" x14ac:dyDescent="0.2">
      <c r="A33">
        <v>10006</v>
      </c>
      <c r="B33">
        <v>54480</v>
      </c>
      <c r="C33">
        <v>-90</v>
      </c>
      <c r="D33">
        <v>1.75</v>
      </c>
      <c r="E33" t="s">
        <v>6</v>
      </c>
      <c r="F33" t="s">
        <v>212</v>
      </c>
      <c r="J33">
        <v>31</v>
      </c>
      <c r="K33">
        <v>-74</v>
      </c>
      <c r="L33">
        <v>-89</v>
      </c>
    </row>
    <row r="34" spans="1:13" x14ac:dyDescent="0.2">
      <c r="A34">
        <v>10004</v>
      </c>
      <c r="B34">
        <v>54480</v>
      </c>
      <c r="C34">
        <v>-64</v>
      </c>
      <c r="D34">
        <v>0.06</v>
      </c>
      <c r="E34" t="s">
        <v>8</v>
      </c>
      <c r="F34" t="s">
        <v>213</v>
      </c>
      <c r="J34">
        <v>32</v>
      </c>
      <c r="K34">
        <v>-71</v>
      </c>
      <c r="L34">
        <v>-89</v>
      </c>
      <c r="M34">
        <v>-86</v>
      </c>
    </row>
    <row r="35" spans="1:13" x14ac:dyDescent="0.2">
      <c r="A35">
        <v>10005</v>
      </c>
      <c r="B35">
        <v>54480</v>
      </c>
      <c r="C35">
        <v>-87</v>
      </c>
      <c r="D35">
        <v>1.21</v>
      </c>
      <c r="E35" t="s">
        <v>6</v>
      </c>
      <c r="F35" t="s">
        <v>213</v>
      </c>
      <c r="J35">
        <v>33</v>
      </c>
      <c r="L35">
        <v>-85</v>
      </c>
    </row>
    <row r="36" spans="1:13" x14ac:dyDescent="0.2">
      <c r="A36">
        <v>10006</v>
      </c>
      <c r="B36">
        <v>54480</v>
      </c>
      <c r="C36">
        <v>-96</v>
      </c>
      <c r="D36">
        <v>2.21</v>
      </c>
      <c r="E36" t="s">
        <v>6</v>
      </c>
      <c r="F36" t="s">
        <v>213</v>
      </c>
      <c r="J36">
        <v>34</v>
      </c>
      <c r="L36">
        <v>-86</v>
      </c>
    </row>
    <row r="37" spans="1:13" x14ac:dyDescent="0.2">
      <c r="A37">
        <v>10005</v>
      </c>
      <c r="B37">
        <v>54480</v>
      </c>
      <c r="C37">
        <v>0</v>
      </c>
      <c r="D37">
        <v>-1</v>
      </c>
      <c r="F37" t="s">
        <v>214</v>
      </c>
      <c r="J37">
        <v>35</v>
      </c>
      <c r="K37">
        <v>-94</v>
      </c>
      <c r="L37">
        <v>-86</v>
      </c>
      <c r="M37">
        <v>-88</v>
      </c>
    </row>
    <row r="38" spans="1:13" x14ac:dyDescent="0.2">
      <c r="A38">
        <v>10004</v>
      </c>
      <c r="B38">
        <v>54480</v>
      </c>
      <c r="C38">
        <v>-63</v>
      </c>
      <c r="D38">
        <v>0.05</v>
      </c>
      <c r="E38" t="s">
        <v>8</v>
      </c>
      <c r="F38" t="s">
        <v>214</v>
      </c>
      <c r="J38">
        <v>36</v>
      </c>
      <c r="K38">
        <v>-94</v>
      </c>
      <c r="L38">
        <v>-85</v>
      </c>
      <c r="M38">
        <v>-89</v>
      </c>
    </row>
    <row r="39" spans="1:13" x14ac:dyDescent="0.2">
      <c r="A39">
        <v>10006</v>
      </c>
      <c r="B39">
        <v>54480</v>
      </c>
      <c r="C39">
        <v>-96</v>
      </c>
      <c r="D39">
        <v>2.5299999999999998</v>
      </c>
      <c r="E39" t="s">
        <v>72</v>
      </c>
      <c r="F39" t="s">
        <v>214</v>
      </c>
      <c r="J39">
        <v>37</v>
      </c>
      <c r="K39">
        <v>-94</v>
      </c>
      <c r="L39">
        <v>-74</v>
      </c>
      <c r="M39">
        <v>-84</v>
      </c>
    </row>
    <row r="40" spans="1:13" x14ac:dyDescent="0.2">
      <c r="A40">
        <v>10006</v>
      </c>
      <c r="B40">
        <v>54480</v>
      </c>
      <c r="C40">
        <v>0</v>
      </c>
      <c r="D40">
        <v>-1</v>
      </c>
      <c r="F40" t="s">
        <v>215</v>
      </c>
      <c r="J40">
        <v>38</v>
      </c>
      <c r="K40">
        <v>-88</v>
      </c>
      <c r="L40">
        <v>-73</v>
      </c>
      <c r="M40">
        <v>-90</v>
      </c>
    </row>
    <row r="41" spans="1:13" x14ac:dyDescent="0.2">
      <c r="A41">
        <v>10004</v>
      </c>
      <c r="B41">
        <v>54480</v>
      </c>
      <c r="C41">
        <v>-63</v>
      </c>
      <c r="D41">
        <v>0.05</v>
      </c>
      <c r="E41" t="s">
        <v>8</v>
      </c>
      <c r="F41" t="s">
        <v>215</v>
      </c>
      <c r="J41">
        <v>39</v>
      </c>
      <c r="K41">
        <v>-88</v>
      </c>
      <c r="L41">
        <v>-67</v>
      </c>
      <c r="M41">
        <v>-84</v>
      </c>
    </row>
    <row r="42" spans="1:13" x14ac:dyDescent="0.2">
      <c r="A42">
        <v>10005</v>
      </c>
      <c r="B42">
        <v>54480</v>
      </c>
      <c r="C42">
        <v>-86</v>
      </c>
      <c r="D42">
        <v>1.1000000000000001</v>
      </c>
      <c r="E42" t="s">
        <v>6</v>
      </c>
      <c r="F42" t="s">
        <v>215</v>
      </c>
      <c r="J42">
        <v>40</v>
      </c>
      <c r="K42">
        <v>-89</v>
      </c>
      <c r="L42">
        <v>-62</v>
      </c>
      <c r="M42">
        <v>-90</v>
      </c>
    </row>
    <row r="43" spans="1:13" x14ac:dyDescent="0.2">
      <c r="A43">
        <v>10005</v>
      </c>
      <c r="B43">
        <v>54480</v>
      </c>
      <c r="C43">
        <v>0</v>
      </c>
      <c r="D43">
        <v>-1</v>
      </c>
      <c r="F43" t="s">
        <v>216</v>
      </c>
      <c r="J43">
        <v>41</v>
      </c>
      <c r="K43">
        <v>-89</v>
      </c>
      <c r="L43">
        <v>-62</v>
      </c>
      <c r="M43">
        <v>-87</v>
      </c>
    </row>
    <row r="44" spans="1:13" x14ac:dyDescent="0.2">
      <c r="A44">
        <v>10006</v>
      </c>
      <c r="B44">
        <v>54480</v>
      </c>
      <c r="C44">
        <v>0</v>
      </c>
      <c r="D44">
        <v>-1</v>
      </c>
      <c r="F44" t="s">
        <v>216</v>
      </c>
      <c r="J44">
        <v>42</v>
      </c>
      <c r="K44">
        <v>-94</v>
      </c>
      <c r="L44">
        <v>-63</v>
      </c>
      <c r="M44">
        <v>-86</v>
      </c>
    </row>
    <row r="45" spans="1:13" x14ac:dyDescent="0.2">
      <c r="A45">
        <v>10004</v>
      </c>
      <c r="B45">
        <v>54480</v>
      </c>
      <c r="C45">
        <v>-63</v>
      </c>
      <c r="D45">
        <v>0.05</v>
      </c>
      <c r="E45" t="s">
        <v>8</v>
      </c>
      <c r="F45" t="s">
        <v>216</v>
      </c>
      <c r="J45">
        <v>43</v>
      </c>
      <c r="K45">
        <v>-85</v>
      </c>
    </row>
    <row r="46" spans="1:13" x14ac:dyDescent="0.2">
      <c r="A46">
        <v>10005</v>
      </c>
      <c r="B46">
        <v>54480</v>
      </c>
      <c r="C46">
        <v>0</v>
      </c>
      <c r="D46">
        <v>-1</v>
      </c>
      <c r="F46" t="s">
        <v>217</v>
      </c>
      <c r="J46">
        <v>44</v>
      </c>
      <c r="K46">
        <v>-86</v>
      </c>
      <c r="L46">
        <v>-53</v>
      </c>
    </row>
    <row r="47" spans="1:13" x14ac:dyDescent="0.2">
      <c r="A47">
        <v>10006</v>
      </c>
      <c r="B47">
        <v>54480</v>
      </c>
      <c r="C47">
        <v>0</v>
      </c>
      <c r="D47">
        <v>-1</v>
      </c>
      <c r="F47" t="s">
        <v>217</v>
      </c>
      <c r="J47">
        <v>45</v>
      </c>
      <c r="K47">
        <v>-87</v>
      </c>
      <c r="L47">
        <v>-50</v>
      </c>
    </row>
    <row r="48" spans="1:13" x14ac:dyDescent="0.2">
      <c r="A48">
        <v>10004</v>
      </c>
      <c r="B48">
        <v>54480</v>
      </c>
      <c r="C48">
        <v>-62</v>
      </c>
      <c r="D48">
        <v>0.05</v>
      </c>
      <c r="E48" t="s">
        <v>8</v>
      </c>
      <c r="F48" t="s">
        <v>217</v>
      </c>
      <c r="J48">
        <v>46</v>
      </c>
      <c r="K48">
        <v>-85</v>
      </c>
      <c r="L48">
        <v>-48</v>
      </c>
      <c r="M48">
        <v>-94</v>
      </c>
    </row>
    <row r="49" spans="1:13" x14ac:dyDescent="0.2">
      <c r="A49">
        <v>10005</v>
      </c>
      <c r="B49">
        <v>54480</v>
      </c>
      <c r="C49">
        <v>0</v>
      </c>
      <c r="D49">
        <v>-1</v>
      </c>
      <c r="F49" t="s">
        <v>218</v>
      </c>
      <c r="J49">
        <v>47</v>
      </c>
      <c r="L49">
        <v>-68</v>
      </c>
      <c r="M49">
        <v>-93</v>
      </c>
    </row>
    <row r="50" spans="1:13" x14ac:dyDescent="0.2">
      <c r="A50">
        <v>10006</v>
      </c>
      <c r="B50">
        <v>54480</v>
      </c>
      <c r="C50">
        <v>0</v>
      </c>
      <c r="D50">
        <v>-1</v>
      </c>
      <c r="F50" t="s">
        <v>218</v>
      </c>
      <c r="J50">
        <v>48</v>
      </c>
      <c r="K50">
        <v>-92</v>
      </c>
      <c r="L50">
        <v>-71</v>
      </c>
      <c r="M50">
        <v>-91</v>
      </c>
    </row>
    <row r="51" spans="1:13" x14ac:dyDescent="0.2">
      <c r="A51">
        <v>10004</v>
      </c>
      <c r="B51">
        <v>54480</v>
      </c>
      <c r="C51">
        <v>-60</v>
      </c>
      <c r="D51">
        <v>0.04</v>
      </c>
      <c r="E51" t="s">
        <v>8</v>
      </c>
      <c r="F51" t="s">
        <v>218</v>
      </c>
      <c r="J51">
        <v>49</v>
      </c>
      <c r="L51">
        <v>-68</v>
      </c>
      <c r="M51">
        <v>-90</v>
      </c>
    </row>
    <row r="52" spans="1:13" x14ac:dyDescent="0.2">
      <c r="A52">
        <v>10005</v>
      </c>
      <c r="B52">
        <v>54480</v>
      </c>
      <c r="C52">
        <v>0</v>
      </c>
      <c r="D52">
        <v>-1</v>
      </c>
      <c r="F52" t="s">
        <v>219</v>
      </c>
      <c r="J52">
        <v>50</v>
      </c>
      <c r="L52">
        <v>-70</v>
      </c>
    </row>
    <row r="53" spans="1:13" x14ac:dyDescent="0.2">
      <c r="A53">
        <v>10004</v>
      </c>
      <c r="B53">
        <v>54480</v>
      </c>
      <c r="C53">
        <v>-60</v>
      </c>
      <c r="D53">
        <v>0.04</v>
      </c>
      <c r="E53" t="s">
        <v>8</v>
      </c>
      <c r="F53" t="s">
        <v>219</v>
      </c>
      <c r="J53">
        <v>51</v>
      </c>
      <c r="L53">
        <v>-68</v>
      </c>
    </row>
    <row r="54" spans="1:13" x14ac:dyDescent="0.2">
      <c r="A54">
        <v>10006</v>
      </c>
      <c r="B54">
        <v>54480</v>
      </c>
      <c r="C54">
        <v>-97</v>
      </c>
      <c r="D54">
        <v>2.84</v>
      </c>
      <c r="E54" t="s">
        <v>72</v>
      </c>
      <c r="F54" t="s">
        <v>219</v>
      </c>
      <c r="J54">
        <v>52</v>
      </c>
      <c r="K54">
        <v>-92</v>
      </c>
      <c r="L54">
        <v>-70</v>
      </c>
      <c r="M54">
        <v>-93</v>
      </c>
    </row>
    <row r="55" spans="1:13" x14ac:dyDescent="0.2">
      <c r="A55">
        <v>10005</v>
      </c>
      <c r="B55">
        <v>54480</v>
      </c>
      <c r="C55">
        <v>0</v>
      </c>
      <c r="D55">
        <v>-1</v>
      </c>
      <c r="F55" t="s">
        <v>220</v>
      </c>
      <c r="J55">
        <v>53</v>
      </c>
      <c r="L55">
        <v>-69</v>
      </c>
      <c r="M55">
        <v>-92</v>
      </c>
    </row>
    <row r="56" spans="1:13" x14ac:dyDescent="0.2">
      <c r="A56">
        <v>10004</v>
      </c>
      <c r="B56">
        <v>54480</v>
      </c>
      <c r="C56">
        <v>-59</v>
      </c>
      <c r="D56">
        <v>0.03</v>
      </c>
      <c r="E56" t="s">
        <v>8</v>
      </c>
      <c r="F56" t="s">
        <v>220</v>
      </c>
      <c r="J56">
        <v>54</v>
      </c>
      <c r="K56">
        <v>-91</v>
      </c>
      <c r="L56">
        <v>-69</v>
      </c>
      <c r="M56">
        <v>-92</v>
      </c>
    </row>
    <row r="57" spans="1:13" x14ac:dyDescent="0.2">
      <c r="A57">
        <v>10006</v>
      </c>
      <c r="B57">
        <v>54480</v>
      </c>
      <c r="C57">
        <v>-97</v>
      </c>
      <c r="D57">
        <v>3.53</v>
      </c>
      <c r="E57" t="s">
        <v>72</v>
      </c>
      <c r="F57" t="s">
        <v>220</v>
      </c>
      <c r="J57">
        <v>55</v>
      </c>
      <c r="L57">
        <v>-70</v>
      </c>
      <c r="M57">
        <v>-93</v>
      </c>
    </row>
    <row r="58" spans="1:13" x14ac:dyDescent="0.2">
      <c r="A58">
        <v>10006</v>
      </c>
      <c r="B58">
        <v>54480</v>
      </c>
      <c r="C58">
        <v>0</v>
      </c>
      <c r="D58">
        <v>-1</v>
      </c>
      <c r="F58" t="s">
        <v>221</v>
      </c>
      <c r="J58">
        <v>56</v>
      </c>
      <c r="L58">
        <v>-58</v>
      </c>
    </row>
    <row r="59" spans="1:13" x14ac:dyDescent="0.2">
      <c r="A59">
        <v>10004</v>
      </c>
      <c r="B59">
        <v>54480</v>
      </c>
      <c r="C59">
        <v>-63</v>
      </c>
      <c r="D59">
        <v>0.05</v>
      </c>
      <c r="E59" t="s">
        <v>8</v>
      </c>
      <c r="F59" t="s">
        <v>221</v>
      </c>
      <c r="J59">
        <v>57</v>
      </c>
      <c r="L59">
        <v>-55</v>
      </c>
      <c r="M59">
        <v>-93</v>
      </c>
    </row>
    <row r="60" spans="1:13" x14ac:dyDescent="0.2">
      <c r="A60">
        <v>10005</v>
      </c>
      <c r="B60">
        <v>54480</v>
      </c>
      <c r="C60">
        <v>-82</v>
      </c>
      <c r="D60">
        <v>0.76</v>
      </c>
      <c r="E60" t="s">
        <v>6</v>
      </c>
      <c r="F60" t="s">
        <v>221</v>
      </c>
      <c r="J60">
        <v>58</v>
      </c>
      <c r="K60">
        <v>-89</v>
      </c>
      <c r="L60">
        <v>-53</v>
      </c>
    </row>
    <row r="61" spans="1:13" x14ac:dyDescent="0.2">
      <c r="A61">
        <v>10005</v>
      </c>
      <c r="B61">
        <v>54480</v>
      </c>
      <c r="C61">
        <v>0</v>
      </c>
      <c r="D61">
        <v>-1</v>
      </c>
      <c r="F61" t="s">
        <v>222</v>
      </c>
      <c r="J61">
        <v>59</v>
      </c>
      <c r="K61">
        <v>-89</v>
      </c>
      <c r="L61">
        <v>-53</v>
      </c>
      <c r="M61">
        <v>-95</v>
      </c>
    </row>
    <row r="62" spans="1:13" x14ac:dyDescent="0.2">
      <c r="A62">
        <v>10006</v>
      </c>
      <c r="B62">
        <v>54480</v>
      </c>
      <c r="C62">
        <v>0</v>
      </c>
      <c r="D62">
        <v>-1</v>
      </c>
      <c r="F62" t="s">
        <v>222</v>
      </c>
      <c r="J62">
        <v>60</v>
      </c>
      <c r="L62">
        <v>-64</v>
      </c>
      <c r="M62">
        <v>-92</v>
      </c>
    </row>
    <row r="63" spans="1:13" x14ac:dyDescent="0.2">
      <c r="A63">
        <v>10004</v>
      </c>
      <c r="B63">
        <v>54480</v>
      </c>
      <c r="C63">
        <v>-63</v>
      </c>
      <c r="D63">
        <v>0.05</v>
      </c>
      <c r="E63" t="s">
        <v>8</v>
      </c>
      <c r="F63" t="s">
        <v>222</v>
      </c>
      <c r="J63">
        <v>61</v>
      </c>
      <c r="K63">
        <v>-96</v>
      </c>
      <c r="L63">
        <v>-64</v>
      </c>
      <c r="M63">
        <v>-90</v>
      </c>
    </row>
    <row r="64" spans="1:13" x14ac:dyDescent="0.2">
      <c r="A64">
        <v>10006</v>
      </c>
      <c r="B64">
        <v>54480</v>
      </c>
      <c r="C64">
        <v>0</v>
      </c>
      <c r="D64">
        <v>-1</v>
      </c>
      <c r="F64" t="s">
        <v>223</v>
      </c>
      <c r="J64">
        <v>62</v>
      </c>
      <c r="K64">
        <v>-95</v>
      </c>
      <c r="L64">
        <v>-67</v>
      </c>
      <c r="M64">
        <v>-94</v>
      </c>
    </row>
    <row r="65" spans="1:13" x14ac:dyDescent="0.2">
      <c r="A65">
        <v>10004</v>
      </c>
      <c r="B65">
        <v>54480</v>
      </c>
      <c r="C65">
        <v>-61</v>
      </c>
      <c r="D65">
        <v>0.04</v>
      </c>
      <c r="E65" t="s">
        <v>8</v>
      </c>
      <c r="F65" t="s">
        <v>223</v>
      </c>
      <c r="J65">
        <v>63</v>
      </c>
      <c r="K65">
        <v>-90</v>
      </c>
      <c r="L65">
        <v>-69</v>
      </c>
      <c r="M65">
        <v>-91</v>
      </c>
    </row>
    <row r="66" spans="1:13" x14ac:dyDescent="0.2">
      <c r="A66">
        <v>10005</v>
      </c>
      <c r="B66">
        <v>54480</v>
      </c>
      <c r="C66">
        <v>-93</v>
      </c>
      <c r="D66">
        <v>2</v>
      </c>
      <c r="E66" t="s">
        <v>6</v>
      </c>
      <c r="F66" t="s">
        <v>223</v>
      </c>
      <c r="J66">
        <v>64</v>
      </c>
      <c r="K66">
        <v>-88</v>
      </c>
      <c r="L66">
        <v>-63</v>
      </c>
      <c r="M66">
        <v>-92</v>
      </c>
    </row>
    <row r="67" spans="1:13" x14ac:dyDescent="0.2">
      <c r="A67">
        <v>10005</v>
      </c>
      <c r="B67">
        <v>54480</v>
      </c>
      <c r="C67">
        <v>0</v>
      </c>
      <c r="D67">
        <v>-1</v>
      </c>
      <c r="F67" t="s">
        <v>224</v>
      </c>
      <c r="J67">
        <v>65</v>
      </c>
      <c r="L67">
        <v>-63</v>
      </c>
      <c r="M67">
        <v>-90</v>
      </c>
    </row>
    <row r="68" spans="1:13" x14ac:dyDescent="0.2">
      <c r="A68">
        <v>10006</v>
      </c>
      <c r="B68">
        <v>54480</v>
      </c>
      <c r="C68">
        <v>0</v>
      </c>
      <c r="D68">
        <v>-1</v>
      </c>
      <c r="F68" t="s">
        <v>224</v>
      </c>
      <c r="J68">
        <v>66</v>
      </c>
      <c r="K68">
        <v>-90</v>
      </c>
      <c r="L68">
        <v>-76</v>
      </c>
      <c r="M68">
        <v>-90</v>
      </c>
    </row>
    <row r="69" spans="1:13" x14ac:dyDescent="0.2">
      <c r="A69">
        <v>10004</v>
      </c>
      <c r="B69">
        <v>54480</v>
      </c>
      <c r="C69">
        <v>-61</v>
      </c>
      <c r="D69">
        <v>0.04</v>
      </c>
      <c r="E69" t="s">
        <v>8</v>
      </c>
      <c r="F69" t="s">
        <v>224</v>
      </c>
      <c r="J69">
        <v>67</v>
      </c>
      <c r="K69">
        <v>-91</v>
      </c>
      <c r="L69">
        <v>-66</v>
      </c>
      <c r="M69">
        <v>-90</v>
      </c>
    </row>
    <row r="70" spans="1:13" x14ac:dyDescent="0.2">
      <c r="A70">
        <v>10004</v>
      </c>
      <c r="B70">
        <v>54480</v>
      </c>
      <c r="C70">
        <v>-62</v>
      </c>
      <c r="D70">
        <v>0.05</v>
      </c>
      <c r="E70" t="s">
        <v>8</v>
      </c>
      <c r="F70" t="s">
        <v>225</v>
      </c>
      <c r="J70">
        <v>68</v>
      </c>
      <c r="K70">
        <v>-91</v>
      </c>
      <c r="L70">
        <v>-63</v>
      </c>
    </row>
    <row r="71" spans="1:13" x14ac:dyDescent="0.2">
      <c r="A71">
        <v>10006</v>
      </c>
      <c r="B71">
        <v>54480</v>
      </c>
      <c r="C71">
        <v>-86</v>
      </c>
      <c r="D71">
        <v>1.73</v>
      </c>
      <c r="E71" t="s">
        <v>6</v>
      </c>
      <c r="F71" t="s">
        <v>225</v>
      </c>
      <c r="J71">
        <v>69</v>
      </c>
      <c r="K71">
        <v>-90</v>
      </c>
    </row>
    <row r="72" spans="1:13" x14ac:dyDescent="0.2">
      <c r="A72">
        <v>10005</v>
      </c>
      <c r="B72">
        <v>54480</v>
      </c>
      <c r="C72">
        <v>-93</v>
      </c>
      <c r="D72">
        <v>2.23</v>
      </c>
      <c r="E72" t="s">
        <v>6</v>
      </c>
      <c r="F72" t="s">
        <v>225</v>
      </c>
      <c r="J72">
        <v>70</v>
      </c>
      <c r="K72">
        <v>-86</v>
      </c>
    </row>
    <row r="73" spans="1:13" x14ac:dyDescent="0.2">
      <c r="A73">
        <v>10004</v>
      </c>
      <c r="B73">
        <v>54480</v>
      </c>
      <c r="C73">
        <v>0</v>
      </c>
      <c r="D73">
        <v>-1</v>
      </c>
      <c r="F73" t="s">
        <v>226</v>
      </c>
      <c r="J73">
        <v>71</v>
      </c>
      <c r="M73">
        <v>-93</v>
      </c>
    </row>
    <row r="74" spans="1:13" x14ac:dyDescent="0.2">
      <c r="A74">
        <v>10005</v>
      </c>
      <c r="B74">
        <v>54480</v>
      </c>
      <c r="C74">
        <v>0</v>
      </c>
      <c r="D74">
        <v>-1</v>
      </c>
      <c r="F74" t="s">
        <v>226</v>
      </c>
      <c r="J74">
        <v>72</v>
      </c>
      <c r="M74">
        <v>-93</v>
      </c>
    </row>
    <row r="75" spans="1:13" x14ac:dyDescent="0.2">
      <c r="A75">
        <v>10006</v>
      </c>
      <c r="B75">
        <v>54480</v>
      </c>
      <c r="C75">
        <v>-90</v>
      </c>
      <c r="D75">
        <v>1.68</v>
      </c>
      <c r="E75" t="s">
        <v>6</v>
      </c>
      <c r="F75" t="s">
        <v>226</v>
      </c>
      <c r="J75">
        <v>73</v>
      </c>
      <c r="K75">
        <v>-89</v>
      </c>
      <c r="L75">
        <v>-65</v>
      </c>
      <c r="M75">
        <v>-90</v>
      </c>
    </row>
    <row r="76" spans="1:13" x14ac:dyDescent="0.2">
      <c r="A76">
        <v>10004</v>
      </c>
      <c r="B76">
        <v>54480</v>
      </c>
      <c r="C76">
        <v>0</v>
      </c>
      <c r="D76">
        <v>-1</v>
      </c>
      <c r="F76" t="s">
        <v>227</v>
      </c>
      <c r="J76">
        <v>74</v>
      </c>
      <c r="K76">
        <v>-91</v>
      </c>
      <c r="L76">
        <v>-67</v>
      </c>
      <c r="M76">
        <v>-91</v>
      </c>
    </row>
    <row r="77" spans="1:13" x14ac:dyDescent="0.2">
      <c r="A77">
        <v>10005</v>
      </c>
      <c r="B77">
        <v>54480</v>
      </c>
      <c r="C77">
        <v>0</v>
      </c>
      <c r="D77">
        <v>-1</v>
      </c>
      <c r="F77" t="s">
        <v>227</v>
      </c>
      <c r="J77">
        <v>75</v>
      </c>
      <c r="K77">
        <v>-89</v>
      </c>
      <c r="L77">
        <v>-65</v>
      </c>
      <c r="M77">
        <v>-94</v>
      </c>
    </row>
    <row r="78" spans="1:13" x14ac:dyDescent="0.2">
      <c r="A78">
        <v>10006</v>
      </c>
      <c r="B78">
        <v>54480</v>
      </c>
      <c r="C78">
        <v>0</v>
      </c>
      <c r="D78">
        <v>-1</v>
      </c>
      <c r="F78" t="s">
        <v>227</v>
      </c>
      <c r="J78">
        <v>76</v>
      </c>
      <c r="L78">
        <v>-64</v>
      </c>
    </row>
    <row r="79" spans="1:13" x14ac:dyDescent="0.2">
      <c r="A79">
        <v>10004</v>
      </c>
      <c r="B79">
        <v>54480</v>
      </c>
      <c r="C79">
        <v>0</v>
      </c>
      <c r="D79">
        <v>-1</v>
      </c>
      <c r="F79" t="s">
        <v>228</v>
      </c>
      <c r="J79">
        <v>77</v>
      </c>
      <c r="K79">
        <v>-87</v>
      </c>
      <c r="L79">
        <v>-57</v>
      </c>
    </row>
    <row r="80" spans="1:13" x14ac:dyDescent="0.2">
      <c r="A80">
        <v>10005</v>
      </c>
      <c r="B80">
        <v>54480</v>
      </c>
      <c r="C80">
        <v>-85</v>
      </c>
      <c r="D80">
        <v>1.3</v>
      </c>
      <c r="E80" t="s">
        <v>6</v>
      </c>
      <c r="F80" t="s">
        <v>228</v>
      </c>
      <c r="J80">
        <v>78</v>
      </c>
      <c r="L80">
        <v>-57</v>
      </c>
    </row>
    <row r="81" spans="1:13" x14ac:dyDescent="0.2">
      <c r="A81">
        <v>10006</v>
      </c>
      <c r="B81">
        <v>54480</v>
      </c>
      <c r="C81">
        <v>-88</v>
      </c>
      <c r="D81">
        <v>1.48</v>
      </c>
      <c r="E81" t="s">
        <v>6</v>
      </c>
      <c r="F81" t="s">
        <v>228</v>
      </c>
      <c r="J81">
        <v>79</v>
      </c>
      <c r="L81">
        <v>-59</v>
      </c>
    </row>
    <row r="82" spans="1:13" x14ac:dyDescent="0.2">
      <c r="A82">
        <v>10006</v>
      </c>
      <c r="B82">
        <v>54480</v>
      </c>
      <c r="C82">
        <v>0</v>
      </c>
      <c r="D82">
        <v>-1</v>
      </c>
      <c r="F82" t="s">
        <v>229</v>
      </c>
      <c r="J82">
        <v>80</v>
      </c>
      <c r="K82">
        <v>-90</v>
      </c>
      <c r="L82">
        <v>-60</v>
      </c>
    </row>
    <row r="83" spans="1:13" x14ac:dyDescent="0.2">
      <c r="A83">
        <v>10004</v>
      </c>
      <c r="B83">
        <v>54480</v>
      </c>
      <c r="C83">
        <v>-71</v>
      </c>
      <c r="D83">
        <v>0.11</v>
      </c>
      <c r="E83" t="s">
        <v>8</v>
      </c>
      <c r="F83" t="s">
        <v>229</v>
      </c>
      <c r="J83">
        <v>81</v>
      </c>
      <c r="K83">
        <v>-90</v>
      </c>
      <c r="L83">
        <v>-67</v>
      </c>
    </row>
    <row r="84" spans="1:13" x14ac:dyDescent="0.2">
      <c r="A84">
        <v>10005</v>
      </c>
      <c r="B84">
        <v>54480</v>
      </c>
      <c r="C84">
        <v>-81</v>
      </c>
      <c r="D84">
        <v>0.68</v>
      </c>
      <c r="E84" t="s">
        <v>6</v>
      </c>
      <c r="F84" t="s">
        <v>229</v>
      </c>
      <c r="J84">
        <v>82</v>
      </c>
      <c r="K84">
        <v>-92</v>
      </c>
      <c r="L84">
        <v>-67</v>
      </c>
    </row>
    <row r="85" spans="1:13" x14ac:dyDescent="0.2">
      <c r="A85">
        <v>10004</v>
      </c>
      <c r="B85">
        <v>54480</v>
      </c>
      <c r="C85">
        <v>0</v>
      </c>
      <c r="D85">
        <v>-1</v>
      </c>
      <c r="F85" t="s">
        <v>230</v>
      </c>
      <c r="J85">
        <v>83</v>
      </c>
    </row>
    <row r="86" spans="1:13" x14ac:dyDescent="0.2">
      <c r="A86">
        <v>10005</v>
      </c>
      <c r="B86">
        <v>54480</v>
      </c>
      <c r="C86">
        <v>-81</v>
      </c>
      <c r="D86">
        <v>0.6</v>
      </c>
      <c r="E86" t="s">
        <v>6</v>
      </c>
      <c r="F86" t="s">
        <v>230</v>
      </c>
      <c r="J86">
        <v>84</v>
      </c>
      <c r="L86">
        <v>-65</v>
      </c>
      <c r="M86">
        <v>-91</v>
      </c>
    </row>
    <row r="87" spans="1:13" x14ac:dyDescent="0.2">
      <c r="A87">
        <v>10006</v>
      </c>
      <c r="B87">
        <v>54480</v>
      </c>
      <c r="C87">
        <v>-86</v>
      </c>
      <c r="D87">
        <v>1.2</v>
      </c>
      <c r="E87" t="s">
        <v>6</v>
      </c>
      <c r="F87" t="s">
        <v>230</v>
      </c>
      <c r="J87">
        <v>85</v>
      </c>
      <c r="L87">
        <v>-68</v>
      </c>
    </row>
    <row r="88" spans="1:13" x14ac:dyDescent="0.2">
      <c r="A88">
        <v>10006</v>
      </c>
      <c r="B88">
        <v>54480</v>
      </c>
      <c r="C88">
        <v>0</v>
      </c>
      <c r="D88">
        <v>-1</v>
      </c>
      <c r="F88" t="s">
        <v>231</v>
      </c>
      <c r="J88">
        <v>86</v>
      </c>
      <c r="K88">
        <v>-84</v>
      </c>
      <c r="L88">
        <v>-84</v>
      </c>
    </row>
    <row r="89" spans="1:13" x14ac:dyDescent="0.2">
      <c r="A89">
        <v>10004</v>
      </c>
      <c r="B89">
        <v>54480</v>
      </c>
      <c r="C89">
        <v>-74</v>
      </c>
      <c r="D89">
        <v>0.21</v>
      </c>
      <c r="E89" t="s">
        <v>8</v>
      </c>
      <c r="F89" t="s">
        <v>231</v>
      </c>
      <c r="J89">
        <v>87</v>
      </c>
      <c r="K89">
        <v>-86</v>
      </c>
      <c r="L89">
        <v>-89</v>
      </c>
      <c r="M89">
        <v>-91</v>
      </c>
    </row>
    <row r="90" spans="1:13" x14ac:dyDescent="0.2">
      <c r="A90">
        <v>10005</v>
      </c>
      <c r="B90">
        <v>54480</v>
      </c>
      <c r="C90">
        <v>-89</v>
      </c>
      <c r="D90">
        <v>0.8</v>
      </c>
      <c r="E90" t="s">
        <v>6</v>
      </c>
      <c r="F90" t="s">
        <v>231</v>
      </c>
      <c r="J90">
        <v>88</v>
      </c>
      <c r="K90">
        <v>-91</v>
      </c>
      <c r="M90">
        <v>-91</v>
      </c>
    </row>
    <row r="91" spans="1:13" x14ac:dyDescent="0.2">
      <c r="A91">
        <v>10006</v>
      </c>
      <c r="B91">
        <v>54480</v>
      </c>
      <c r="C91">
        <v>0</v>
      </c>
      <c r="D91">
        <v>-1</v>
      </c>
      <c r="F91" t="s">
        <v>232</v>
      </c>
      <c r="J91">
        <v>89</v>
      </c>
      <c r="K91">
        <v>-92</v>
      </c>
      <c r="L91">
        <v>-79</v>
      </c>
      <c r="M91">
        <v>-81</v>
      </c>
    </row>
    <row r="92" spans="1:13" x14ac:dyDescent="0.2">
      <c r="A92">
        <v>10004</v>
      </c>
      <c r="B92">
        <v>54480</v>
      </c>
      <c r="C92">
        <v>-71</v>
      </c>
      <c r="D92">
        <v>0.16</v>
      </c>
      <c r="E92" t="s">
        <v>8</v>
      </c>
      <c r="F92" t="s">
        <v>232</v>
      </c>
      <c r="J92">
        <v>90</v>
      </c>
      <c r="K92">
        <v>-85</v>
      </c>
      <c r="L92">
        <v>-85</v>
      </c>
      <c r="M92">
        <v>-81</v>
      </c>
    </row>
    <row r="93" spans="1:13" x14ac:dyDescent="0.2">
      <c r="A93">
        <v>10005</v>
      </c>
      <c r="B93">
        <v>54480</v>
      </c>
      <c r="C93">
        <v>-89</v>
      </c>
      <c r="D93">
        <v>0.98</v>
      </c>
      <c r="E93" t="s">
        <v>6</v>
      </c>
      <c r="F93" t="s">
        <v>232</v>
      </c>
      <c r="J93">
        <v>91</v>
      </c>
      <c r="K93">
        <v>-86</v>
      </c>
      <c r="L93">
        <v>-83</v>
      </c>
      <c r="M93">
        <v>-79</v>
      </c>
    </row>
    <row r="94" spans="1:13" x14ac:dyDescent="0.2">
      <c r="A94">
        <v>10004</v>
      </c>
      <c r="B94">
        <v>54480</v>
      </c>
      <c r="C94">
        <v>0</v>
      </c>
      <c r="D94">
        <v>-1</v>
      </c>
      <c r="F94" t="s">
        <v>233</v>
      </c>
      <c r="J94">
        <v>92</v>
      </c>
      <c r="K94">
        <v>-91</v>
      </c>
      <c r="L94">
        <v>-73</v>
      </c>
      <c r="M94">
        <v>-74</v>
      </c>
    </row>
    <row r="95" spans="1:13" x14ac:dyDescent="0.2">
      <c r="A95">
        <v>10005</v>
      </c>
      <c r="B95">
        <v>54480</v>
      </c>
      <c r="C95">
        <v>-85</v>
      </c>
      <c r="D95">
        <v>0.94</v>
      </c>
      <c r="E95" t="s">
        <v>6</v>
      </c>
      <c r="F95" t="s">
        <v>233</v>
      </c>
      <c r="J95">
        <v>93</v>
      </c>
      <c r="K95">
        <v>-86</v>
      </c>
      <c r="M95">
        <v>-63</v>
      </c>
    </row>
    <row r="96" spans="1:13" x14ac:dyDescent="0.2">
      <c r="A96">
        <v>10006</v>
      </c>
      <c r="B96">
        <v>54480</v>
      </c>
      <c r="C96">
        <v>-88</v>
      </c>
      <c r="D96">
        <v>1.25</v>
      </c>
      <c r="E96" t="s">
        <v>6</v>
      </c>
      <c r="F96" t="s">
        <v>233</v>
      </c>
      <c r="J96">
        <v>94</v>
      </c>
      <c r="K96">
        <v>-88</v>
      </c>
      <c r="M96">
        <v>-55</v>
      </c>
    </row>
    <row r="97" spans="1:13" x14ac:dyDescent="0.2">
      <c r="A97">
        <v>10004</v>
      </c>
      <c r="B97">
        <v>54480</v>
      </c>
      <c r="C97">
        <v>0</v>
      </c>
      <c r="D97">
        <v>-1</v>
      </c>
      <c r="F97" t="s">
        <v>234</v>
      </c>
      <c r="J97">
        <v>95</v>
      </c>
      <c r="K97">
        <v>-87</v>
      </c>
      <c r="L97">
        <v>-81</v>
      </c>
      <c r="M97">
        <v>-55</v>
      </c>
    </row>
    <row r="98" spans="1:13" x14ac:dyDescent="0.2">
      <c r="A98">
        <v>10005</v>
      </c>
      <c r="B98">
        <v>54480</v>
      </c>
      <c r="C98">
        <v>-86</v>
      </c>
      <c r="D98">
        <v>0.96</v>
      </c>
      <c r="E98" t="s">
        <v>6</v>
      </c>
      <c r="F98" t="s">
        <v>234</v>
      </c>
      <c r="J98">
        <v>96</v>
      </c>
      <c r="K98">
        <v>-94</v>
      </c>
      <c r="L98">
        <v>-80</v>
      </c>
    </row>
    <row r="99" spans="1:13" x14ac:dyDescent="0.2">
      <c r="A99">
        <v>10006</v>
      </c>
      <c r="B99">
        <v>54480</v>
      </c>
      <c r="C99">
        <v>-89</v>
      </c>
      <c r="D99">
        <v>1.38</v>
      </c>
      <c r="E99" t="s">
        <v>6</v>
      </c>
      <c r="F99" t="s">
        <v>234</v>
      </c>
      <c r="J99">
        <v>97</v>
      </c>
      <c r="K99">
        <v>-88</v>
      </c>
      <c r="L99">
        <v>-81</v>
      </c>
      <c r="M99">
        <v>-75</v>
      </c>
    </row>
    <row r="100" spans="1:13" x14ac:dyDescent="0.2">
      <c r="A100">
        <v>10004</v>
      </c>
      <c r="B100">
        <v>54480</v>
      </c>
      <c r="C100">
        <v>-94</v>
      </c>
      <c r="D100">
        <v>0.41</v>
      </c>
      <c r="E100" t="s">
        <v>8</v>
      </c>
      <c r="F100" t="s">
        <v>235</v>
      </c>
      <c r="J100">
        <v>98</v>
      </c>
      <c r="L100">
        <v>-81</v>
      </c>
      <c r="M100">
        <v>-71</v>
      </c>
    </row>
    <row r="101" spans="1:13" x14ac:dyDescent="0.2">
      <c r="A101">
        <v>10005</v>
      </c>
      <c r="B101">
        <v>54480</v>
      </c>
      <c r="C101">
        <v>-86</v>
      </c>
      <c r="D101">
        <v>0.97</v>
      </c>
      <c r="E101" t="s">
        <v>6</v>
      </c>
      <c r="F101" t="s">
        <v>235</v>
      </c>
      <c r="J101">
        <v>99</v>
      </c>
      <c r="M101">
        <v>-71</v>
      </c>
    </row>
    <row r="102" spans="1:13" x14ac:dyDescent="0.2">
      <c r="A102">
        <v>10006</v>
      </c>
      <c r="B102">
        <v>54480</v>
      </c>
      <c r="C102">
        <v>-84</v>
      </c>
      <c r="D102">
        <v>1.03</v>
      </c>
      <c r="E102" t="s">
        <v>6</v>
      </c>
      <c r="F102" t="s">
        <v>235</v>
      </c>
      <c r="J102">
        <v>100</v>
      </c>
      <c r="K102">
        <v>-93</v>
      </c>
      <c r="L102">
        <v>-78</v>
      </c>
      <c r="M102">
        <v>-70</v>
      </c>
    </row>
    <row r="103" spans="1:13" x14ac:dyDescent="0.2">
      <c r="A103">
        <v>10005</v>
      </c>
      <c r="B103">
        <v>54480</v>
      </c>
      <c r="C103">
        <v>-85</v>
      </c>
      <c r="D103">
        <v>0.94</v>
      </c>
      <c r="E103" t="s">
        <v>6</v>
      </c>
      <c r="F103" t="s">
        <v>236</v>
      </c>
      <c r="J103">
        <v>101</v>
      </c>
      <c r="L103">
        <v>-78</v>
      </c>
    </row>
    <row r="104" spans="1:13" x14ac:dyDescent="0.2">
      <c r="A104">
        <v>10006</v>
      </c>
      <c r="B104">
        <v>54480</v>
      </c>
      <c r="C104">
        <v>-90</v>
      </c>
      <c r="D104">
        <v>1.2</v>
      </c>
      <c r="E104" t="s">
        <v>6</v>
      </c>
      <c r="F104" t="s">
        <v>236</v>
      </c>
      <c r="J104">
        <v>102</v>
      </c>
      <c r="K104">
        <v>-88</v>
      </c>
      <c r="L104">
        <v>-84</v>
      </c>
      <c r="M104">
        <v>-54</v>
      </c>
    </row>
    <row r="105" spans="1:13" x14ac:dyDescent="0.2">
      <c r="A105">
        <v>10004</v>
      </c>
      <c r="B105">
        <v>54480</v>
      </c>
      <c r="C105">
        <v>-94</v>
      </c>
      <c r="D105">
        <v>1.36</v>
      </c>
      <c r="E105" t="s">
        <v>6</v>
      </c>
      <c r="F105" t="s">
        <v>236</v>
      </c>
      <c r="J105">
        <v>103</v>
      </c>
      <c r="K105">
        <v>-89</v>
      </c>
      <c r="L105">
        <v>-86</v>
      </c>
    </row>
    <row r="106" spans="1:13" x14ac:dyDescent="0.2">
      <c r="A106">
        <v>10005</v>
      </c>
      <c r="B106">
        <v>54480</v>
      </c>
      <c r="C106">
        <v>-74</v>
      </c>
      <c r="D106">
        <v>0.43</v>
      </c>
      <c r="E106" t="s">
        <v>6</v>
      </c>
      <c r="F106" t="s">
        <v>237</v>
      </c>
      <c r="J106">
        <v>104</v>
      </c>
      <c r="K106">
        <v>-88</v>
      </c>
      <c r="L106">
        <v>-78</v>
      </c>
      <c r="M106">
        <v>-55</v>
      </c>
    </row>
    <row r="107" spans="1:13" x14ac:dyDescent="0.2">
      <c r="A107">
        <v>10006</v>
      </c>
      <c r="B107">
        <v>54480</v>
      </c>
      <c r="C107">
        <v>-84</v>
      </c>
      <c r="D107">
        <v>1.01</v>
      </c>
      <c r="E107" t="s">
        <v>6</v>
      </c>
      <c r="F107" t="s">
        <v>237</v>
      </c>
      <c r="J107">
        <v>105</v>
      </c>
      <c r="K107">
        <v>-87</v>
      </c>
      <c r="L107">
        <v>-78</v>
      </c>
      <c r="M107">
        <v>-68</v>
      </c>
    </row>
    <row r="108" spans="1:13" x14ac:dyDescent="0.2">
      <c r="A108">
        <v>10004</v>
      </c>
      <c r="B108">
        <v>54480</v>
      </c>
      <c r="C108">
        <v>-94</v>
      </c>
      <c r="D108">
        <v>1.81</v>
      </c>
      <c r="E108" t="s">
        <v>6</v>
      </c>
      <c r="F108" t="s">
        <v>237</v>
      </c>
      <c r="J108">
        <v>106</v>
      </c>
      <c r="K108">
        <v>-96</v>
      </c>
      <c r="L108">
        <v>-84</v>
      </c>
      <c r="M108">
        <v>-80</v>
      </c>
    </row>
    <row r="109" spans="1:13" x14ac:dyDescent="0.2">
      <c r="A109">
        <v>10005</v>
      </c>
      <c r="B109">
        <v>54480</v>
      </c>
      <c r="C109">
        <v>-73</v>
      </c>
      <c r="D109">
        <v>0.28000000000000003</v>
      </c>
      <c r="E109" t="s">
        <v>8</v>
      </c>
      <c r="F109" t="s">
        <v>238</v>
      </c>
      <c r="J109">
        <v>107</v>
      </c>
      <c r="K109">
        <v>-96</v>
      </c>
      <c r="L109">
        <v>-78</v>
      </c>
      <c r="M109">
        <v>-81</v>
      </c>
    </row>
    <row r="110" spans="1:13" x14ac:dyDescent="0.2">
      <c r="A110">
        <v>10006</v>
      </c>
      <c r="B110">
        <v>54480</v>
      </c>
      <c r="C110">
        <v>-90</v>
      </c>
      <c r="D110">
        <v>1.17</v>
      </c>
      <c r="E110" t="s">
        <v>6</v>
      </c>
      <c r="F110" t="s">
        <v>238</v>
      </c>
      <c r="J110">
        <v>108</v>
      </c>
      <c r="K110">
        <v>-86</v>
      </c>
      <c r="L110">
        <v>-78</v>
      </c>
    </row>
    <row r="111" spans="1:13" x14ac:dyDescent="0.2">
      <c r="A111">
        <v>10004</v>
      </c>
      <c r="B111">
        <v>54480</v>
      </c>
      <c r="C111">
        <v>-88</v>
      </c>
      <c r="D111">
        <v>1.58</v>
      </c>
      <c r="E111" t="s">
        <v>6</v>
      </c>
      <c r="F111" t="s">
        <v>238</v>
      </c>
      <c r="J111">
        <v>109</v>
      </c>
      <c r="K111">
        <v>-86</v>
      </c>
      <c r="L111">
        <v>-87</v>
      </c>
      <c r="M111">
        <v>-47</v>
      </c>
    </row>
    <row r="112" spans="1:13" x14ac:dyDescent="0.2">
      <c r="A112">
        <v>10005</v>
      </c>
      <c r="B112">
        <v>54480</v>
      </c>
      <c r="C112">
        <v>-67</v>
      </c>
      <c r="D112">
        <v>0.13</v>
      </c>
      <c r="E112" t="s">
        <v>8</v>
      </c>
      <c r="F112" t="s">
        <v>239</v>
      </c>
      <c r="J112">
        <v>110</v>
      </c>
      <c r="K112">
        <v>-90</v>
      </c>
      <c r="L112">
        <v>-83</v>
      </c>
      <c r="M112">
        <v>-44</v>
      </c>
    </row>
    <row r="113" spans="1:13" x14ac:dyDescent="0.2">
      <c r="A113">
        <v>10006</v>
      </c>
      <c r="B113">
        <v>54480</v>
      </c>
      <c r="C113">
        <v>-87</v>
      </c>
      <c r="D113">
        <v>1.1599999999999999</v>
      </c>
      <c r="E113" t="s">
        <v>6</v>
      </c>
      <c r="F113" t="s">
        <v>239</v>
      </c>
      <c r="J113">
        <v>111</v>
      </c>
      <c r="K113">
        <v>-94</v>
      </c>
      <c r="M113">
        <v>-45</v>
      </c>
    </row>
    <row r="114" spans="1:13" x14ac:dyDescent="0.2">
      <c r="A114">
        <v>10004</v>
      </c>
      <c r="B114">
        <v>54480</v>
      </c>
      <c r="C114">
        <v>-88</v>
      </c>
      <c r="D114">
        <v>1.47</v>
      </c>
      <c r="E114" t="s">
        <v>6</v>
      </c>
      <c r="F114" t="s">
        <v>239</v>
      </c>
      <c r="J114">
        <v>112</v>
      </c>
      <c r="K114">
        <v>-94</v>
      </c>
      <c r="M114">
        <v>-78</v>
      </c>
    </row>
    <row r="115" spans="1:13" x14ac:dyDescent="0.2">
      <c r="A115">
        <v>10005</v>
      </c>
      <c r="B115">
        <v>54480</v>
      </c>
      <c r="C115">
        <v>-62</v>
      </c>
      <c r="D115">
        <v>0.06</v>
      </c>
      <c r="E115" t="s">
        <v>8</v>
      </c>
      <c r="F115" t="s">
        <v>240</v>
      </c>
      <c r="J115">
        <v>113</v>
      </c>
      <c r="K115">
        <v>-94</v>
      </c>
      <c r="L115">
        <v>-86</v>
      </c>
      <c r="M115">
        <v>-78</v>
      </c>
    </row>
    <row r="116" spans="1:13" x14ac:dyDescent="0.2">
      <c r="A116">
        <v>10006</v>
      </c>
      <c r="B116">
        <v>54480</v>
      </c>
      <c r="C116">
        <v>-86</v>
      </c>
      <c r="D116">
        <v>1.1000000000000001</v>
      </c>
      <c r="E116" t="s">
        <v>6</v>
      </c>
      <c r="F116" t="s">
        <v>240</v>
      </c>
      <c r="J116">
        <v>114</v>
      </c>
      <c r="K116">
        <v>-94</v>
      </c>
      <c r="L116">
        <v>-90</v>
      </c>
      <c r="M116">
        <v>-78</v>
      </c>
    </row>
    <row r="117" spans="1:13" x14ac:dyDescent="0.2">
      <c r="A117">
        <v>10004</v>
      </c>
      <c r="B117">
        <v>54480</v>
      </c>
      <c r="C117">
        <v>-89</v>
      </c>
      <c r="D117">
        <v>1.47</v>
      </c>
      <c r="E117" t="s">
        <v>6</v>
      </c>
      <c r="F117" t="s">
        <v>240</v>
      </c>
      <c r="J117">
        <v>115</v>
      </c>
      <c r="L117">
        <v>-83</v>
      </c>
      <c r="M117">
        <v>-68</v>
      </c>
    </row>
    <row r="118" spans="1:13" x14ac:dyDescent="0.2">
      <c r="A118">
        <v>10006</v>
      </c>
      <c r="B118">
        <v>54480</v>
      </c>
      <c r="C118">
        <v>0</v>
      </c>
      <c r="D118">
        <v>-1</v>
      </c>
      <c r="F118" t="s">
        <v>241</v>
      </c>
      <c r="J118">
        <v>116</v>
      </c>
      <c r="L118">
        <v>-93</v>
      </c>
      <c r="M118">
        <v>-67</v>
      </c>
    </row>
    <row r="119" spans="1:13" x14ac:dyDescent="0.2">
      <c r="A119">
        <v>10005</v>
      </c>
      <c r="B119">
        <v>54480</v>
      </c>
      <c r="C119">
        <v>-62</v>
      </c>
      <c r="D119">
        <v>0.05</v>
      </c>
      <c r="E119" t="s">
        <v>8</v>
      </c>
      <c r="F119" t="s">
        <v>241</v>
      </c>
      <c r="J119">
        <v>117</v>
      </c>
      <c r="K119">
        <v>-93</v>
      </c>
      <c r="L119">
        <v>-88</v>
      </c>
      <c r="M119">
        <v>-69</v>
      </c>
    </row>
    <row r="120" spans="1:13" x14ac:dyDescent="0.2">
      <c r="A120">
        <v>10004</v>
      </c>
      <c r="B120">
        <v>54480</v>
      </c>
      <c r="C120">
        <v>-89</v>
      </c>
      <c r="D120">
        <v>1.47</v>
      </c>
      <c r="E120" t="s">
        <v>6</v>
      </c>
      <c r="F120" t="s">
        <v>241</v>
      </c>
      <c r="J120">
        <v>118</v>
      </c>
      <c r="L120">
        <v>-93</v>
      </c>
      <c r="M120">
        <v>-69</v>
      </c>
    </row>
    <row r="121" spans="1:13" x14ac:dyDescent="0.2">
      <c r="A121">
        <v>10006</v>
      </c>
      <c r="B121">
        <v>54480</v>
      </c>
      <c r="C121">
        <v>0</v>
      </c>
      <c r="D121">
        <v>-1</v>
      </c>
      <c r="F121" t="s">
        <v>242</v>
      </c>
      <c r="J121">
        <v>119</v>
      </c>
      <c r="K121">
        <v>-90</v>
      </c>
      <c r="L121">
        <v>-89</v>
      </c>
      <c r="M121">
        <v>-72</v>
      </c>
    </row>
    <row r="122" spans="1:13" x14ac:dyDescent="0.2">
      <c r="A122">
        <v>10005</v>
      </c>
      <c r="B122">
        <v>54480</v>
      </c>
      <c r="C122">
        <v>-63</v>
      </c>
      <c r="D122">
        <v>0.05</v>
      </c>
      <c r="E122" t="s">
        <v>8</v>
      </c>
      <c r="F122" t="s">
        <v>242</v>
      </c>
      <c r="J122">
        <v>120</v>
      </c>
      <c r="K122">
        <v>-90</v>
      </c>
      <c r="L122">
        <v>-89</v>
      </c>
      <c r="M122">
        <v>-72</v>
      </c>
    </row>
    <row r="123" spans="1:13" x14ac:dyDescent="0.2">
      <c r="A123">
        <v>10004</v>
      </c>
      <c r="B123">
        <v>54480</v>
      </c>
      <c r="C123">
        <v>-94</v>
      </c>
      <c r="D123">
        <v>1.71</v>
      </c>
      <c r="E123" t="s">
        <v>6</v>
      </c>
      <c r="F123" t="s">
        <v>242</v>
      </c>
    </row>
    <row r="124" spans="1:13" x14ac:dyDescent="0.2">
      <c r="A124">
        <v>10005</v>
      </c>
      <c r="B124">
        <v>54480</v>
      </c>
      <c r="C124">
        <v>0</v>
      </c>
      <c r="D124">
        <v>-1</v>
      </c>
      <c r="F124" t="s">
        <v>243</v>
      </c>
    </row>
    <row r="125" spans="1:13" x14ac:dyDescent="0.2">
      <c r="A125">
        <v>10006</v>
      </c>
      <c r="B125">
        <v>54480</v>
      </c>
      <c r="C125">
        <v>0</v>
      </c>
      <c r="D125">
        <v>-1</v>
      </c>
      <c r="F125" t="s">
        <v>243</v>
      </c>
    </row>
    <row r="126" spans="1:13" x14ac:dyDescent="0.2">
      <c r="A126">
        <v>10004</v>
      </c>
      <c r="B126">
        <v>54480</v>
      </c>
      <c r="C126">
        <v>-85</v>
      </c>
      <c r="D126">
        <v>1.35</v>
      </c>
      <c r="E126" t="s">
        <v>6</v>
      </c>
      <c r="F126" t="s">
        <v>243</v>
      </c>
    </row>
    <row r="127" spans="1:13" x14ac:dyDescent="0.2">
      <c r="A127">
        <v>10005</v>
      </c>
      <c r="B127">
        <v>54480</v>
      </c>
      <c r="C127">
        <v>-53</v>
      </c>
      <c r="D127">
        <v>0.02</v>
      </c>
      <c r="E127" t="s">
        <v>8</v>
      </c>
      <c r="F127" t="s">
        <v>244</v>
      </c>
    </row>
    <row r="128" spans="1:13" x14ac:dyDescent="0.2">
      <c r="A128">
        <v>10004</v>
      </c>
      <c r="B128">
        <v>54480</v>
      </c>
      <c r="C128">
        <v>-86</v>
      </c>
      <c r="D128">
        <v>1.22</v>
      </c>
      <c r="E128" t="s">
        <v>6</v>
      </c>
      <c r="F128" t="s">
        <v>244</v>
      </c>
    </row>
    <row r="129" spans="1:6" x14ac:dyDescent="0.2">
      <c r="A129">
        <v>10006</v>
      </c>
      <c r="B129">
        <v>54480</v>
      </c>
      <c r="C129">
        <v>-94</v>
      </c>
      <c r="D129">
        <v>1.37</v>
      </c>
      <c r="E129" t="s">
        <v>6</v>
      </c>
      <c r="F129" t="s">
        <v>244</v>
      </c>
    </row>
    <row r="130" spans="1:6" x14ac:dyDescent="0.2">
      <c r="A130">
        <v>10005</v>
      </c>
      <c r="B130">
        <v>54480</v>
      </c>
      <c r="C130">
        <v>-50</v>
      </c>
      <c r="D130">
        <v>0.01</v>
      </c>
      <c r="E130" t="s">
        <v>8</v>
      </c>
      <c r="F130" t="s">
        <v>245</v>
      </c>
    </row>
    <row r="131" spans="1:6" x14ac:dyDescent="0.2">
      <c r="A131">
        <v>10004</v>
      </c>
      <c r="B131">
        <v>54480</v>
      </c>
      <c r="C131">
        <v>-87</v>
      </c>
      <c r="D131">
        <v>1.2</v>
      </c>
      <c r="E131" t="s">
        <v>6</v>
      </c>
      <c r="F131" t="s">
        <v>245</v>
      </c>
    </row>
    <row r="132" spans="1:6" x14ac:dyDescent="0.2">
      <c r="A132">
        <v>10006</v>
      </c>
      <c r="B132">
        <v>54480</v>
      </c>
      <c r="C132">
        <v>-93</v>
      </c>
      <c r="D132">
        <v>1.98</v>
      </c>
      <c r="E132" t="s">
        <v>6</v>
      </c>
      <c r="F132" t="s">
        <v>245</v>
      </c>
    </row>
    <row r="133" spans="1:6" x14ac:dyDescent="0.2">
      <c r="A133">
        <v>10005</v>
      </c>
      <c r="B133">
        <v>54480</v>
      </c>
      <c r="C133">
        <v>-48</v>
      </c>
      <c r="D133">
        <v>0.01</v>
      </c>
      <c r="E133" t="s">
        <v>8</v>
      </c>
      <c r="F133" t="s">
        <v>246</v>
      </c>
    </row>
    <row r="134" spans="1:6" x14ac:dyDescent="0.2">
      <c r="A134">
        <v>10004</v>
      </c>
      <c r="B134">
        <v>54480</v>
      </c>
      <c r="C134">
        <v>-85</v>
      </c>
      <c r="D134">
        <v>1.08</v>
      </c>
      <c r="E134" t="s">
        <v>6</v>
      </c>
      <c r="F134" t="s">
        <v>246</v>
      </c>
    </row>
    <row r="135" spans="1:6" x14ac:dyDescent="0.2">
      <c r="A135">
        <v>10006</v>
      </c>
      <c r="B135">
        <v>54480</v>
      </c>
      <c r="C135">
        <v>-91</v>
      </c>
      <c r="D135">
        <v>1.94</v>
      </c>
      <c r="E135" t="s">
        <v>6</v>
      </c>
      <c r="F135" t="s">
        <v>246</v>
      </c>
    </row>
    <row r="136" spans="1:6" x14ac:dyDescent="0.2">
      <c r="A136">
        <v>10004</v>
      </c>
      <c r="B136">
        <v>54480</v>
      </c>
      <c r="C136">
        <v>0</v>
      </c>
      <c r="D136">
        <v>-1</v>
      </c>
      <c r="F136" t="s">
        <v>247</v>
      </c>
    </row>
    <row r="137" spans="1:6" x14ac:dyDescent="0.2">
      <c r="A137">
        <v>10005</v>
      </c>
      <c r="B137">
        <v>54480</v>
      </c>
      <c r="C137">
        <v>-68</v>
      </c>
      <c r="D137">
        <v>7.0000000000000007E-2</v>
      </c>
      <c r="E137" t="s">
        <v>8</v>
      </c>
      <c r="F137" t="s">
        <v>247</v>
      </c>
    </row>
    <row r="138" spans="1:6" x14ac:dyDescent="0.2">
      <c r="A138">
        <v>10006</v>
      </c>
      <c r="B138">
        <v>54480</v>
      </c>
      <c r="C138">
        <v>-90</v>
      </c>
      <c r="D138">
        <v>1.84</v>
      </c>
      <c r="E138" t="s">
        <v>6</v>
      </c>
      <c r="F138" t="s">
        <v>247</v>
      </c>
    </row>
    <row r="139" spans="1:6" x14ac:dyDescent="0.2">
      <c r="A139">
        <v>10006</v>
      </c>
      <c r="B139">
        <v>54480</v>
      </c>
      <c r="C139">
        <v>0</v>
      </c>
      <c r="D139">
        <v>-1</v>
      </c>
      <c r="F139" t="s">
        <v>248</v>
      </c>
    </row>
    <row r="140" spans="1:6" x14ac:dyDescent="0.2">
      <c r="A140">
        <v>10005</v>
      </c>
      <c r="B140">
        <v>54480</v>
      </c>
      <c r="C140">
        <v>-71</v>
      </c>
      <c r="D140">
        <v>0.12</v>
      </c>
      <c r="E140" t="s">
        <v>8</v>
      </c>
      <c r="F140" t="s">
        <v>248</v>
      </c>
    </row>
    <row r="141" spans="1:6" x14ac:dyDescent="0.2">
      <c r="A141">
        <v>10004</v>
      </c>
      <c r="B141">
        <v>54480</v>
      </c>
      <c r="C141">
        <v>-92</v>
      </c>
      <c r="D141">
        <v>1.28</v>
      </c>
      <c r="E141" t="s">
        <v>6</v>
      </c>
      <c r="F141" t="s">
        <v>248</v>
      </c>
    </row>
    <row r="142" spans="1:6" x14ac:dyDescent="0.2">
      <c r="A142">
        <v>10004</v>
      </c>
      <c r="B142">
        <v>54480</v>
      </c>
      <c r="C142">
        <v>0</v>
      </c>
      <c r="D142">
        <v>-1</v>
      </c>
      <c r="F142" t="s">
        <v>249</v>
      </c>
    </row>
    <row r="143" spans="1:6" x14ac:dyDescent="0.2">
      <c r="A143">
        <v>10006</v>
      </c>
      <c r="B143">
        <v>54480</v>
      </c>
      <c r="C143">
        <v>0</v>
      </c>
      <c r="D143">
        <v>-1</v>
      </c>
      <c r="F143" t="s">
        <v>249</v>
      </c>
    </row>
    <row r="144" spans="1:6" x14ac:dyDescent="0.2">
      <c r="A144">
        <v>10005</v>
      </c>
      <c r="B144">
        <v>54480</v>
      </c>
      <c r="C144">
        <v>-68</v>
      </c>
      <c r="D144">
        <v>0.1</v>
      </c>
      <c r="E144" t="s">
        <v>8</v>
      </c>
      <c r="F144" t="s">
        <v>249</v>
      </c>
    </row>
    <row r="145" spans="1:6" x14ac:dyDescent="0.2">
      <c r="A145">
        <v>10004</v>
      </c>
      <c r="B145">
        <v>54480</v>
      </c>
      <c r="C145">
        <v>0</v>
      </c>
      <c r="D145">
        <v>-1</v>
      </c>
      <c r="F145" t="s">
        <v>250</v>
      </c>
    </row>
    <row r="146" spans="1:6" x14ac:dyDescent="0.2">
      <c r="A146">
        <v>10005</v>
      </c>
      <c r="B146">
        <v>54480</v>
      </c>
      <c r="C146">
        <v>-70</v>
      </c>
      <c r="D146">
        <v>0.12</v>
      </c>
      <c r="E146" t="s">
        <v>8</v>
      </c>
      <c r="F146" t="s">
        <v>250</v>
      </c>
    </row>
    <row r="147" spans="1:6" x14ac:dyDescent="0.2">
      <c r="A147">
        <v>10006</v>
      </c>
      <c r="B147">
        <v>54480</v>
      </c>
      <c r="C147">
        <v>-93</v>
      </c>
      <c r="D147">
        <v>1.99</v>
      </c>
      <c r="E147" t="s">
        <v>6</v>
      </c>
      <c r="F147" t="s">
        <v>250</v>
      </c>
    </row>
    <row r="148" spans="1:6" x14ac:dyDescent="0.2">
      <c r="A148">
        <v>10004</v>
      </c>
      <c r="B148">
        <v>54480</v>
      </c>
      <c r="C148">
        <v>0</v>
      </c>
      <c r="D148">
        <v>-1</v>
      </c>
      <c r="F148" t="s">
        <v>251</v>
      </c>
    </row>
    <row r="149" spans="1:6" x14ac:dyDescent="0.2">
      <c r="A149">
        <v>10005</v>
      </c>
      <c r="B149">
        <v>54480</v>
      </c>
      <c r="C149">
        <v>-68</v>
      </c>
      <c r="D149">
        <v>0.11</v>
      </c>
      <c r="E149" t="s">
        <v>8</v>
      </c>
      <c r="F149" t="s">
        <v>251</v>
      </c>
    </row>
    <row r="150" spans="1:6" x14ac:dyDescent="0.2">
      <c r="A150">
        <v>10006</v>
      </c>
      <c r="B150">
        <v>54480</v>
      </c>
      <c r="C150">
        <v>-92</v>
      </c>
      <c r="D150">
        <v>2.0699999999999998</v>
      </c>
      <c r="E150" t="s">
        <v>6</v>
      </c>
      <c r="F150" t="s">
        <v>251</v>
      </c>
    </row>
    <row r="151" spans="1:6" x14ac:dyDescent="0.2">
      <c r="A151">
        <v>10005</v>
      </c>
      <c r="B151">
        <v>54480</v>
      </c>
      <c r="C151">
        <v>-70</v>
      </c>
      <c r="D151">
        <v>0.12</v>
      </c>
      <c r="E151" t="s">
        <v>8</v>
      </c>
      <c r="F151" t="s">
        <v>252</v>
      </c>
    </row>
    <row r="152" spans="1:6" x14ac:dyDescent="0.2">
      <c r="A152">
        <v>10004</v>
      </c>
      <c r="B152">
        <v>54480</v>
      </c>
      <c r="C152">
        <v>-92</v>
      </c>
      <c r="D152">
        <v>1.58</v>
      </c>
      <c r="E152" t="s">
        <v>6</v>
      </c>
      <c r="F152" t="s">
        <v>252</v>
      </c>
    </row>
    <row r="153" spans="1:6" x14ac:dyDescent="0.2">
      <c r="A153">
        <v>10006</v>
      </c>
      <c r="B153">
        <v>54480</v>
      </c>
      <c r="C153">
        <v>-92</v>
      </c>
      <c r="D153">
        <v>2.1</v>
      </c>
      <c r="E153" t="s">
        <v>6</v>
      </c>
      <c r="F153" t="s">
        <v>252</v>
      </c>
    </row>
    <row r="154" spans="1:6" x14ac:dyDescent="0.2">
      <c r="A154">
        <v>10004</v>
      </c>
      <c r="B154">
        <v>54480</v>
      </c>
      <c r="C154">
        <v>0</v>
      </c>
      <c r="D154">
        <v>-1</v>
      </c>
      <c r="F154" t="s">
        <v>253</v>
      </c>
    </row>
    <row r="155" spans="1:6" x14ac:dyDescent="0.2">
      <c r="A155">
        <v>10005</v>
      </c>
      <c r="B155">
        <v>54480</v>
      </c>
      <c r="C155">
        <v>-69</v>
      </c>
      <c r="D155">
        <v>0.12</v>
      </c>
      <c r="E155" t="s">
        <v>8</v>
      </c>
      <c r="F155" t="s">
        <v>253</v>
      </c>
    </row>
    <row r="156" spans="1:6" x14ac:dyDescent="0.2">
      <c r="A156">
        <v>10006</v>
      </c>
      <c r="B156">
        <v>54480</v>
      </c>
      <c r="C156">
        <v>-93</v>
      </c>
      <c r="D156">
        <v>2.19</v>
      </c>
      <c r="E156" t="s">
        <v>6</v>
      </c>
      <c r="F156" t="s">
        <v>253</v>
      </c>
    </row>
    <row r="157" spans="1:6" x14ac:dyDescent="0.2">
      <c r="A157">
        <v>10006</v>
      </c>
      <c r="B157">
        <v>54480</v>
      </c>
      <c r="C157">
        <v>0</v>
      </c>
      <c r="D157">
        <v>-1</v>
      </c>
      <c r="F157" t="s">
        <v>254</v>
      </c>
    </row>
    <row r="158" spans="1:6" x14ac:dyDescent="0.2">
      <c r="A158">
        <v>10005</v>
      </c>
      <c r="B158">
        <v>54480</v>
      </c>
      <c r="C158">
        <v>-69</v>
      </c>
      <c r="D158">
        <v>0.11</v>
      </c>
      <c r="E158" t="s">
        <v>8</v>
      </c>
      <c r="F158" t="s">
        <v>254</v>
      </c>
    </row>
    <row r="159" spans="1:6" x14ac:dyDescent="0.2">
      <c r="A159">
        <v>10004</v>
      </c>
      <c r="B159">
        <v>54480</v>
      </c>
      <c r="C159">
        <v>-91</v>
      </c>
      <c r="D159">
        <v>1.76</v>
      </c>
      <c r="E159" t="s">
        <v>6</v>
      </c>
      <c r="F159" t="s">
        <v>254</v>
      </c>
    </row>
    <row r="160" spans="1:6" x14ac:dyDescent="0.2">
      <c r="A160">
        <v>10004</v>
      </c>
      <c r="B160">
        <v>54480</v>
      </c>
      <c r="C160">
        <v>0</v>
      </c>
      <c r="D160">
        <v>-1</v>
      </c>
      <c r="F160" t="s">
        <v>255</v>
      </c>
    </row>
    <row r="161" spans="1:6" x14ac:dyDescent="0.2">
      <c r="A161">
        <v>10005</v>
      </c>
      <c r="B161">
        <v>54480</v>
      </c>
      <c r="C161">
        <v>-70</v>
      </c>
      <c r="D161">
        <v>0.12</v>
      </c>
      <c r="E161" t="s">
        <v>8</v>
      </c>
      <c r="F161" t="s">
        <v>255</v>
      </c>
    </row>
    <row r="162" spans="1:6" x14ac:dyDescent="0.2">
      <c r="A162">
        <v>10006</v>
      </c>
      <c r="B162">
        <v>54480</v>
      </c>
      <c r="C162">
        <v>-93</v>
      </c>
      <c r="D162">
        <v>2.2400000000000002</v>
      </c>
      <c r="E162" t="s">
        <v>6</v>
      </c>
      <c r="F162" t="s">
        <v>255</v>
      </c>
    </row>
    <row r="163" spans="1:6" x14ac:dyDescent="0.2">
      <c r="A163">
        <v>10004</v>
      </c>
      <c r="B163">
        <v>54480</v>
      </c>
      <c r="C163">
        <v>0</v>
      </c>
      <c r="D163">
        <v>-1</v>
      </c>
      <c r="F163" t="s">
        <v>256</v>
      </c>
    </row>
    <row r="164" spans="1:6" x14ac:dyDescent="0.2">
      <c r="A164">
        <v>10006</v>
      </c>
      <c r="B164">
        <v>54480</v>
      </c>
      <c r="C164">
        <v>0</v>
      </c>
      <c r="D164">
        <v>-1</v>
      </c>
      <c r="F164" t="s">
        <v>256</v>
      </c>
    </row>
    <row r="165" spans="1:6" x14ac:dyDescent="0.2">
      <c r="A165">
        <v>10005</v>
      </c>
      <c r="B165">
        <v>54480</v>
      </c>
      <c r="C165">
        <v>-58</v>
      </c>
      <c r="D165">
        <v>0.05</v>
      </c>
      <c r="E165" t="s">
        <v>8</v>
      </c>
      <c r="F165" t="s">
        <v>256</v>
      </c>
    </row>
    <row r="166" spans="1:6" x14ac:dyDescent="0.2">
      <c r="A166">
        <v>10004</v>
      </c>
      <c r="B166">
        <v>54480</v>
      </c>
      <c r="C166">
        <v>0</v>
      </c>
      <c r="D166">
        <v>-1</v>
      </c>
      <c r="F166" t="s">
        <v>257</v>
      </c>
    </row>
    <row r="167" spans="1:6" x14ac:dyDescent="0.2">
      <c r="A167">
        <v>10005</v>
      </c>
      <c r="B167">
        <v>54480</v>
      </c>
      <c r="C167">
        <v>-55</v>
      </c>
      <c r="D167">
        <v>0.02</v>
      </c>
      <c r="E167" t="s">
        <v>8</v>
      </c>
      <c r="F167" t="s">
        <v>257</v>
      </c>
    </row>
    <row r="168" spans="1:6" x14ac:dyDescent="0.2">
      <c r="A168">
        <v>10006</v>
      </c>
      <c r="B168">
        <v>54480</v>
      </c>
      <c r="C168">
        <v>-95</v>
      </c>
      <c r="D168">
        <v>2.39</v>
      </c>
      <c r="E168" t="s">
        <v>6</v>
      </c>
      <c r="F168" t="s">
        <v>257</v>
      </c>
    </row>
    <row r="169" spans="1:6" x14ac:dyDescent="0.2">
      <c r="A169">
        <v>10005</v>
      </c>
      <c r="B169">
        <v>54480</v>
      </c>
      <c r="C169">
        <v>-53</v>
      </c>
      <c r="D169">
        <v>0.02</v>
      </c>
      <c r="E169" t="s">
        <v>8</v>
      </c>
      <c r="F169" t="s">
        <v>258</v>
      </c>
    </row>
    <row r="170" spans="1:6" x14ac:dyDescent="0.2">
      <c r="A170">
        <v>10004</v>
      </c>
      <c r="B170">
        <v>54480</v>
      </c>
      <c r="C170">
        <v>-89</v>
      </c>
      <c r="D170">
        <v>1.63</v>
      </c>
      <c r="E170" t="s">
        <v>6</v>
      </c>
      <c r="F170" t="s">
        <v>258</v>
      </c>
    </row>
    <row r="171" spans="1:6" x14ac:dyDescent="0.2">
      <c r="A171">
        <v>10006</v>
      </c>
      <c r="B171">
        <v>54480</v>
      </c>
      <c r="C171">
        <v>-92</v>
      </c>
      <c r="D171">
        <v>2.31</v>
      </c>
      <c r="E171" t="s">
        <v>6</v>
      </c>
      <c r="F171" t="s">
        <v>258</v>
      </c>
    </row>
    <row r="172" spans="1:6" x14ac:dyDescent="0.2">
      <c r="A172">
        <v>10005</v>
      </c>
      <c r="B172">
        <v>54480</v>
      </c>
      <c r="C172">
        <v>-53</v>
      </c>
      <c r="D172">
        <v>0.01</v>
      </c>
      <c r="E172" t="s">
        <v>8</v>
      </c>
      <c r="F172" t="s">
        <v>259</v>
      </c>
    </row>
    <row r="173" spans="1:6" x14ac:dyDescent="0.2">
      <c r="A173">
        <v>10004</v>
      </c>
      <c r="B173">
        <v>54480</v>
      </c>
      <c r="C173">
        <v>-89</v>
      </c>
      <c r="D173">
        <v>1.51</v>
      </c>
      <c r="E173" t="s">
        <v>6</v>
      </c>
      <c r="F173" t="s">
        <v>259</v>
      </c>
    </row>
    <row r="174" spans="1:6" x14ac:dyDescent="0.2">
      <c r="A174">
        <v>10006</v>
      </c>
      <c r="B174">
        <v>54480</v>
      </c>
      <c r="C174">
        <v>-90</v>
      </c>
      <c r="D174">
        <v>2.0699999999999998</v>
      </c>
      <c r="E174" t="s">
        <v>6</v>
      </c>
      <c r="F174" t="s">
        <v>259</v>
      </c>
    </row>
    <row r="175" spans="1:6" x14ac:dyDescent="0.2">
      <c r="A175">
        <v>10004</v>
      </c>
      <c r="B175">
        <v>54480</v>
      </c>
      <c r="C175">
        <v>0</v>
      </c>
      <c r="D175">
        <v>-1</v>
      </c>
      <c r="F175" t="s">
        <v>260</v>
      </c>
    </row>
    <row r="176" spans="1:6" x14ac:dyDescent="0.2">
      <c r="A176">
        <v>10005</v>
      </c>
      <c r="B176">
        <v>54480</v>
      </c>
      <c r="C176">
        <v>-64</v>
      </c>
      <c r="D176">
        <v>0.05</v>
      </c>
      <c r="E176" t="s">
        <v>8</v>
      </c>
      <c r="F176" t="s">
        <v>260</v>
      </c>
    </row>
    <row r="177" spans="1:6" x14ac:dyDescent="0.2">
      <c r="A177">
        <v>10006</v>
      </c>
      <c r="B177">
        <v>54480</v>
      </c>
      <c r="C177">
        <v>-94</v>
      </c>
      <c r="D177">
        <v>2.23</v>
      </c>
      <c r="E177" t="s">
        <v>6</v>
      </c>
      <c r="F177" t="s">
        <v>260</v>
      </c>
    </row>
    <row r="178" spans="1:6" x14ac:dyDescent="0.2">
      <c r="A178">
        <v>10005</v>
      </c>
      <c r="B178">
        <v>54480</v>
      </c>
      <c r="C178">
        <v>-64</v>
      </c>
      <c r="D178">
        <v>0.06</v>
      </c>
      <c r="E178" t="s">
        <v>8</v>
      </c>
      <c r="F178" t="s">
        <v>261</v>
      </c>
    </row>
    <row r="179" spans="1:6" x14ac:dyDescent="0.2">
      <c r="A179">
        <v>10004</v>
      </c>
      <c r="B179">
        <v>54480</v>
      </c>
      <c r="C179">
        <v>-96</v>
      </c>
      <c r="D179">
        <v>2.04</v>
      </c>
      <c r="E179" t="s">
        <v>6</v>
      </c>
      <c r="F179" t="s">
        <v>261</v>
      </c>
    </row>
    <row r="180" spans="1:6" x14ac:dyDescent="0.2">
      <c r="A180">
        <v>10006</v>
      </c>
      <c r="B180">
        <v>54480</v>
      </c>
      <c r="C180">
        <v>-91</v>
      </c>
      <c r="D180">
        <v>2.13</v>
      </c>
      <c r="E180" t="s">
        <v>6</v>
      </c>
      <c r="F180" t="s">
        <v>261</v>
      </c>
    </row>
    <row r="181" spans="1:6" x14ac:dyDescent="0.2">
      <c r="A181">
        <v>10005</v>
      </c>
      <c r="B181">
        <v>54480</v>
      </c>
      <c r="C181">
        <v>-67</v>
      </c>
      <c r="D181">
        <v>0.08</v>
      </c>
      <c r="E181" t="s">
        <v>8</v>
      </c>
      <c r="F181" t="s">
        <v>262</v>
      </c>
    </row>
    <row r="182" spans="1:6" x14ac:dyDescent="0.2">
      <c r="A182">
        <v>10006</v>
      </c>
      <c r="B182">
        <v>54480</v>
      </c>
      <c r="C182">
        <v>-92</v>
      </c>
      <c r="D182">
        <v>2.14</v>
      </c>
      <c r="E182" t="s">
        <v>6</v>
      </c>
      <c r="F182" t="s">
        <v>262</v>
      </c>
    </row>
    <row r="183" spans="1:6" x14ac:dyDescent="0.2">
      <c r="A183">
        <v>10004</v>
      </c>
      <c r="B183">
        <v>54480</v>
      </c>
      <c r="C183">
        <v>-95</v>
      </c>
      <c r="D183">
        <v>2.42</v>
      </c>
      <c r="E183" t="s">
        <v>6</v>
      </c>
      <c r="F183" t="s">
        <v>262</v>
      </c>
    </row>
    <row r="184" spans="1:6" x14ac:dyDescent="0.2">
      <c r="A184">
        <v>10005</v>
      </c>
      <c r="B184">
        <v>54480</v>
      </c>
      <c r="C184">
        <v>-69</v>
      </c>
      <c r="D184">
        <v>0.1</v>
      </c>
      <c r="E184" t="s">
        <v>8</v>
      </c>
      <c r="F184" t="s">
        <v>263</v>
      </c>
    </row>
    <row r="185" spans="1:6" x14ac:dyDescent="0.2">
      <c r="A185">
        <v>10006</v>
      </c>
      <c r="B185">
        <v>54480</v>
      </c>
      <c r="C185">
        <v>-90</v>
      </c>
      <c r="D185">
        <v>2</v>
      </c>
      <c r="E185" t="s">
        <v>6</v>
      </c>
      <c r="F185" t="s">
        <v>263</v>
      </c>
    </row>
    <row r="186" spans="1:6" x14ac:dyDescent="0.2">
      <c r="A186">
        <v>10004</v>
      </c>
      <c r="B186">
        <v>54480</v>
      </c>
      <c r="C186">
        <v>-90</v>
      </c>
      <c r="D186">
        <v>2.1</v>
      </c>
      <c r="E186" t="s">
        <v>6</v>
      </c>
      <c r="F186" t="s">
        <v>263</v>
      </c>
    </row>
    <row r="187" spans="1:6" x14ac:dyDescent="0.2">
      <c r="A187">
        <v>10005</v>
      </c>
      <c r="B187">
        <v>54480</v>
      </c>
      <c r="C187">
        <v>-63</v>
      </c>
      <c r="D187">
        <v>0.06</v>
      </c>
      <c r="E187" t="s">
        <v>8</v>
      </c>
      <c r="F187" t="s">
        <v>264</v>
      </c>
    </row>
    <row r="188" spans="1:6" x14ac:dyDescent="0.2">
      <c r="A188">
        <v>10004</v>
      </c>
      <c r="B188">
        <v>54480</v>
      </c>
      <c r="C188">
        <v>-88</v>
      </c>
      <c r="D188">
        <v>1.77</v>
      </c>
      <c r="E188" t="s">
        <v>6</v>
      </c>
      <c r="F188" t="s">
        <v>264</v>
      </c>
    </row>
    <row r="189" spans="1:6" x14ac:dyDescent="0.2">
      <c r="A189">
        <v>10006</v>
      </c>
      <c r="B189">
        <v>54480</v>
      </c>
      <c r="C189">
        <v>-90</v>
      </c>
      <c r="D189">
        <v>1.9</v>
      </c>
      <c r="E189" t="s">
        <v>6</v>
      </c>
      <c r="F189" t="s">
        <v>264</v>
      </c>
    </row>
    <row r="190" spans="1:6" x14ac:dyDescent="0.2">
      <c r="A190">
        <v>10004</v>
      </c>
      <c r="B190">
        <v>54480</v>
      </c>
      <c r="C190">
        <v>0</v>
      </c>
      <c r="D190">
        <v>-1</v>
      </c>
      <c r="F190" t="s">
        <v>265</v>
      </c>
    </row>
    <row r="191" spans="1:6" x14ac:dyDescent="0.2">
      <c r="A191">
        <v>10005</v>
      </c>
      <c r="B191">
        <v>54480</v>
      </c>
      <c r="C191">
        <v>-63</v>
      </c>
      <c r="D191">
        <v>0.05</v>
      </c>
      <c r="E191" t="s">
        <v>8</v>
      </c>
      <c r="F191" t="s">
        <v>265</v>
      </c>
    </row>
    <row r="192" spans="1:6" x14ac:dyDescent="0.2">
      <c r="A192">
        <v>10006</v>
      </c>
      <c r="B192">
        <v>54480</v>
      </c>
      <c r="C192">
        <v>-90</v>
      </c>
      <c r="D192">
        <v>1.84</v>
      </c>
      <c r="E192" t="s">
        <v>6</v>
      </c>
      <c r="F192" t="s">
        <v>265</v>
      </c>
    </row>
    <row r="193" spans="1:6" x14ac:dyDescent="0.2">
      <c r="A193">
        <v>10006</v>
      </c>
      <c r="B193">
        <v>54480</v>
      </c>
      <c r="C193">
        <v>0</v>
      </c>
      <c r="D193">
        <v>-1</v>
      </c>
      <c r="F193" t="s">
        <v>266</v>
      </c>
    </row>
    <row r="194" spans="1:6" x14ac:dyDescent="0.2">
      <c r="A194">
        <v>10005</v>
      </c>
      <c r="B194">
        <v>54480</v>
      </c>
      <c r="C194">
        <v>-76</v>
      </c>
      <c r="D194">
        <v>0.15</v>
      </c>
      <c r="E194" t="s">
        <v>8</v>
      </c>
      <c r="F194" t="s">
        <v>266</v>
      </c>
    </row>
    <row r="195" spans="1:6" x14ac:dyDescent="0.2">
      <c r="A195">
        <v>10004</v>
      </c>
      <c r="B195">
        <v>54480</v>
      </c>
      <c r="C195">
        <v>-90</v>
      </c>
      <c r="D195">
        <v>1.74</v>
      </c>
      <c r="E195" t="s">
        <v>6</v>
      </c>
      <c r="F195" t="s">
        <v>266</v>
      </c>
    </row>
    <row r="196" spans="1:6" x14ac:dyDescent="0.2">
      <c r="A196">
        <v>10006</v>
      </c>
      <c r="B196">
        <v>54480</v>
      </c>
      <c r="C196">
        <v>0</v>
      </c>
      <c r="D196">
        <v>-1</v>
      </c>
      <c r="F196" t="s">
        <v>267</v>
      </c>
    </row>
    <row r="197" spans="1:6" x14ac:dyDescent="0.2">
      <c r="A197">
        <v>10005</v>
      </c>
      <c r="B197">
        <v>54480</v>
      </c>
      <c r="C197">
        <v>-66</v>
      </c>
      <c r="D197">
        <v>0.09</v>
      </c>
      <c r="E197" t="s">
        <v>8</v>
      </c>
      <c r="F197" t="s">
        <v>267</v>
      </c>
    </row>
    <row r="198" spans="1:6" x14ac:dyDescent="0.2">
      <c r="A198">
        <v>10004</v>
      </c>
      <c r="B198">
        <v>54480</v>
      </c>
      <c r="C198">
        <v>-91</v>
      </c>
      <c r="D198">
        <v>1.8</v>
      </c>
      <c r="E198" t="s">
        <v>6</v>
      </c>
      <c r="F198" t="s">
        <v>267</v>
      </c>
    </row>
    <row r="199" spans="1:6" x14ac:dyDescent="0.2">
      <c r="A199">
        <v>10006</v>
      </c>
      <c r="B199">
        <v>54480</v>
      </c>
      <c r="C199">
        <v>0</v>
      </c>
      <c r="D199">
        <v>-1</v>
      </c>
      <c r="F199" t="s">
        <v>268</v>
      </c>
    </row>
    <row r="200" spans="1:6" x14ac:dyDescent="0.2">
      <c r="A200">
        <v>10005</v>
      </c>
      <c r="B200">
        <v>54480</v>
      </c>
      <c r="C200">
        <v>-63</v>
      </c>
      <c r="D200">
        <v>0.06</v>
      </c>
      <c r="E200" t="s">
        <v>8</v>
      </c>
      <c r="F200" t="s">
        <v>268</v>
      </c>
    </row>
    <row r="201" spans="1:6" x14ac:dyDescent="0.2">
      <c r="A201">
        <v>10004</v>
      </c>
      <c r="B201">
        <v>54480</v>
      </c>
      <c r="C201">
        <v>-91</v>
      </c>
      <c r="D201">
        <v>1.83</v>
      </c>
      <c r="E201" t="s">
        <v>6</v>
      </c>
      <c r="F201" t="s">
        <v>268</v>
      </c>
    </row>
    <row r="202" spans="1:6" x14ac:dyDescent="0.2">
      <c r="A202">
        <v>10005</v>
      </c>
      <c r="B202">
        <v>54480</v>
      </c>
      <c r="C202">
        <v>0</v>
      </c>
      <c r="D202">
        <v>-1</v>
      </c>
      <c r="F202" t="s">
        <v>269</v>
      </c>
    </row>
    <row r="203" spans="1:6" x14ac:dyDescent="0.2">
      <c r="A203">
        <v>10004</v>
      </c>
      <c r="B203">
        <v>54480</v>
      </c>
      <c r="C203">
        <v>-90</v>
      </c>
      <c r="D203">
        <v>1.78</v>
      </c>
      <c r="E203" t="s">
        <v>6</v>
      </c>
      <c r="F203" t="s">
        <v>269</v>
      </c>
    </row>
    <row r="204" spans="1:6" x14ac:dyDescent="0.2">
      <c r="A204">
        <v>10006</v>
      </c>
      <c r="B204">
        <v>54480</v>
      </c>
      <c r="C204">
        <v>-93</v>
      </c>
      <c r="D204">
        <v>1.96</v>
      </c>
      <c r="E204" t="s">
        <v>6</v>
      </c>
      <c r="F204" t="s">
        <v>269</v>
      </c>
    </row>
    <row r="205" spans="1:6" x14ac:dyDescent="0.2">
      <c r="A205">
        <v>10005</v>
      </c>
      <c r="B205">
        <v>54480</v>
      </c>
      <c r="C205">
        <v>0</v>
      </c>
      <c r="D205">
        <v>-1</v>
      </c>
      <c r="F205" t="s">
        <v>270</v>
      </c>
    </row>
    <row r="206" spans="1:6" x14ac:dyDescent="0.2">
      <c r="A206">
        <v>10004</v>
      </c>
      <c r="B206">
        <v>54480</v>
      </c>
      <c r="C206">
        <v>-86</v>
      </c>
      <c r="D206">
        <v>1.46</v>
      </c>
      <c r="E206" t="s">
        <v>6</v>
      </c>
      <c r="F206" t="s">
        <v>270</v>
      </c>
    </row>
    <row r="207" spans="1:6" x14ac:dyDescent="0.2">
      <c r="A207">
        <v>10006</v>
      </c>
      <c r="B207">
        <v>54480</v>
      </c>
      <c r="C207">
        <v>-93</v>
      </c>
      <c r="D207">
        <v>2.2400000000000002</v>
      </c>
      <c r="E207" t="s">
        <v>6</v>
      </c>
      <c r="F207" t="s">
        <v>270</v>
      </c>
    </row>
    <row r="208" spans="1:6" x14ac:dyDescent="0.2">
      <c r="A208">
        <v>10004</v>
      </c>
      <c r="B208">
        <v>54480</v>
      </c>
      <c r="C208">
        <v>0</v>
      </c>
      <c r="D208">
        <v>-1</v>
      </c>
      <c r="F208" t="s">
        <v>271</v>
      </c>
    </row>
    <row r="209" spans="1:6" x14ac:dyDescent="0.2">
      <c r="A209">
        <v>10005</v>
      </c>
      <c r="B209">
        <v>54480</v>
      </c>
      <c r="C209">
        <v>0</v>
      </c>
      <c r="D209">
        <v>-1</v>
      </c>
      <c r="F209" t="s">
        <v>271</v>
      </c>
    </row>
    <row r="210" spans="1:6" x14ac:dyDescent="0.2">
      <c r="A210">
        <v>10006</v>
      </c>
      <c r="B210">
        <v>54480</v>
      </c>
      <c r="C210">
        <v>-90</v>
      </c>
      <c r="D210">
        <v>1.96</v>
      </c>
      <c r="E210" t="s">
        <v>6</v>
      </c>
      <c r="F210" t="s">
        <v>271</v>
      </c>
    </row>
    <row r="211" spans="1:6" x14ac:dyDescent="0.2">
      <c r="A211">
        <v>10004</v>
      </c>
      <c r="B211">
        <v>54480</v>
      </c>
      <c r="C211">
        <v>0</v>
      </c>
      <c r="D211">
        <v>-1</v>
      </c>
      <c r="F211" t="s">
        <v>272</v>
      </c>
    </row>
    <row r="212" spans="1:6" x14ac:dyDescent="0.2">
      <c r="A212">
        <v>10005</v>
      </c>
      <c r="B212">
        <v>54480</v>
      </c>
      <c r="C212">
        <v>0</v>
      </c>
      <c r="D212">
        <v>-1</v>
      </c>
      <c r="F212" t="s">
        <v>272</v>
      </c>
    </row>
    <row r="213" spans="1:6" x14ac:dyDescent="0.2">
      <c r="A213">
        <v>10006</v>
      </c>
      <c r="B213">
        <v>54480</v>
      </c>
      <c r="C213">
        <v>-91</v>
      </c>
      <c r="D213">
        <v>1.94</v>
      </c>
      <c r="E213" t="s">
        <v>6</v>
      </c>
      <c r="F213" t="s">
        <v>272</v>
      </c>
    </row>
    <row r="214" spans="1:6" x14ac:dyDescent="0.2">
      <c r="A214">
        <v>10005</v>
      </c>
      <c r="B214">
        <v>54480</v>
      </c>
      <c r="C214">
        <v>-65</v>
      </c>
      <c r="D214">
        <v>7.0000000000000007E-2</v>
      </c>
      <c r="E214" t="s">
        <v>8</v>
      </c>
      <c r="F214" t="s">
        <v>273</v>
      </c>
    </row>
    <row r="215" spans="1:6" x14ac:dyDescent="0.2">
      <c r="A215">
        <v>10004</v>
      </c>
      <c r="B215">
        <v>54480</v>
      </c>
      <c r="C215">
        <v>-89</v>
      </c>
      <c r="D215">
        <v>1.46</v>
      </c>
      <c r="E215" t="s">
        <v>6</v>
      </c>
      <c r="F215" t="s">
        <v>273</v>
      </c>
    </row>
    <row r="216" spans="1:6" x14ac:dyDescent="0.2">
      <c r="A216">
        <v>10006</v>
      </c>
      <c r="B216">
        <v>54480</v>
      </c>
      <c r="C216">
        <v>-94</v>
      </c>
      <c r="D216">
        <v>2.13</v>
      </c>
      <c r="E216" t="s">
        <v>6</v>
      </c>
      <c r="F216" t="s">
        <v>273</v>
      </c>
    </row>
    <row r="217" spans="1:6" x14ac:dyDescent="0.2">
      <c r="A217">
        <v>10006</v>
      </c>
      <c r="B217">
        <v>54480</v>
      </c>
      <c r="C217">
        <v>0</v>
      </c>
      <c r="D217">
        <v>-1</v>
      </c>
      <c r="F217" t="s">
        <v>274</v>
      </c>
    </row>
    <row r="218" spans="1:6" x14ac:dyDescent="0.2">
      <c r="A218">
        <v>10005</v>
      </c>
      <c r="B218">
        <v>54480</v>
      </c>
      <c r="C218">
        <v>-67</v>
      </c>
      <c r="D218">
        <v>0.09</v>
      </c>
      <c r="E218" t="s">
        <v>8</v>
      </c>
      <c r="F218" t="s">
        <v>274</v>
      </c>
    </row>
    <row r="219" spans="1:6" x14ac:dyDescent="0.2">
      <c r="A219">
        <v>10004</v>
      </c>
      <c r="B219">
        <v>54480</v>
      </c>
      <c r="C219">
        <v>-91</v>
      </c>
      <c r="D219">
        <v>1.68</v>
      </c>
      <c r="E219" t="s">
        <v>6</v>
      </c>
      <c r="F219" t="s">
        <v>274</v>
      </c>
    </row>
    <row r="220" spans="1:6" x14ac:dyDescent="0.2">
      <c r="A220">
        <v>10006</v>
      </c>
      <c r="B220">
        <v>54480</v>
      </c>
      <c r="C220">
        <v>0</v>
      </c>
      <c r="D220">
        <v>-1</v>
      </c>
      <c r="F220" t="s">
        <v>275</v>
      </c>
    </row>
    <row r="221" spans="1:6" x14ac:dyDescent="0.2">
      <c r="A221">
        <v>10005</v>
      </c>
      <c r="B221">
        <v>54480</v>
      </c>
      <c r="C221">
        <v>-65</v>
      </c>
      <c r="D221">
        <v>7.0000000000000007E-2</v>
      </c>
      <c r="E221" t="s">
        <v>8</v>
      </c>
      <c r="F221" t="s">
        <v>275</v>
      </c>
    </row>
    <row r="222" spans="1:6" x14ac:dyDescent="0.2">
      <c r="A222">
        <v>10004</v>
      </c>
      <c r="B222">
        <v>54480</v>
      </c>
      <c r="C222">
        <v>-89</v>
      </c>
      <c r="D222">
        <v>1.59</v>
      </c>
      <c r="E222" t="s">
        <v>6</v>
      </c>
      <c r="F222" t="s">
        <v>275</v>
      </c>
    </row>
    <row r="223" spans="1:6" x14ac:dyDescent="0.2">
      <c r="A223">
        <v>10004</v>
      </c>
      <c r="B223">
        <v>54480</v>
      </c>
      <c r="C223">
        <v>0</v>
      </c>
      <c r="D223">
        <v>-1</v>
      </c>
      <c r="F223" t="s">
        <v>276</v>
      </c>
    </row>
    <row r="224" spans="1:6" x14ac:dyDescent="0.2">
      <c r="A224">
        <v>10006</v>
      </c>
      <c r="B224">
        <v>54480</v>
      </c>
      <c r="C224">
        <v>0</v>
      </c>
      <c r="D224">
        <v>-1</v>
      </c>
      <c r="F224" t="s">
        <v>276</v>
      </c>
    </row>
    <row r="225" spans="1:6" x14ac:dyDescent="0.2">
      <c r="A225">
        <v>10005</v>
      </c>
      <c r="B225">
        <v>54480</v>
      </c>
      <c r="C225">
        <v>-64</v>
      </c>
      <c r="D225">
        <v>0.06</v>
      </c>
      <c r="E225" t="s">
        <v>8</v>
      </c>
      <c r="F225" t="s">
        <v>276</v>
      </c>
    </row>
    <row r="226" spans="1:6" x14ac:dyDescent="0.2">
      <c r="A226">
        <v>10006</v>
      </c>
      <c r="B226">
        <v>54480</v>
      </c>
      <c r="C226">
        <v>0</v>
      </c>
      <c r="D226">
        <v>-1</v>
      </c>
      <c r="F226" t="s">
        <v>277</v>
      </c>
    </row>
    <row r="227" spans="1:6" x14ac:dyDescent="0.2">
      <c r="A227">
        <v>10005</v>
      </c>
      <c r="B227">
        <v>54480</v>
      </c>
      <c r="C227">
        <v>-57</v>
      </c>
      <c r="D227">
        <v>0.03</v>
      </c>
      <c r="E227" t="s">
        <v>8</v>
      </c>
      <c r="F227" t="s">
        <v>277</v>
      </c>
    </row>
    <row r="228" spans="1:6" x14ac:dyDescent="0.2">
      <c r="A228">
        <v>10004</v>
      </c>
      <c r="B228">
        <v>54480</v>
      </c>
      <c r="C228">
        <v>-87</v>
      </c>
      <c r="D228">
        <v>1.4</v>
      </c>
      <c r="E228" t="s">
        <v>6</v>
      </c>
      <c r="F228" t="s">
        <v>277</v>
      </c>
    </row>
    <row r="229" spans="1:6" x14ac:dyDescent="0.2">
      <c r="A229">
        <v>10004</v>
      </c>
      <c r="B229">
        <v>54480</v>
      </c>
      <c r="C229">
        <v>0</v>
      </c>
      <c r="D229">
        <v>-1</v>
      </c>
      <c r="F229" t="s">
        <v>278</v>
      </c>
    </row>
    <row r="230" spans="1:6" x14ac:dyDescent="0.2">
      <c r="A230">
        <v>10006</v>
      </c>
      <c r="B230">
        <v>54480</v>
      </c>
      <c r="C230">
        <v>0</v>
      </c>
      <c r="D230">
        <v>-1</v>
      </c>
      <c r="F230" t="s">
        <v>278</v>
      </c>
    </row>
    <row r="231" spans="1:6" x14ac:dyDescent="0.2">
      <c r="A231">
        <v>10005</v>
      </c>
      <c r="B231">
        <v>54480</v>
      </c>
      <c r="C231">
        <v>-57</v>
      </c>
      <c r="D231">
        <v>0.02</v>
      </c>
      <c r="E231" t="s">
        <v>8</v>
      </c>
      <c r="F231" t="s">
        <v>278</v>
      </c>
    </row>
    <row r="232" spans="1:6" x14ac:dyDescent="0.2">
      <c r="A232">
        <v>10004</v>
      </c>
      <c r="B232">
        <v>54480</v>
      </c>
      <c r="C232">
        <v>0</v>
      </c>
      <c r="D232">
        <v>-1</v>
      </c>
      <c r="F232" t="s">
        <v>279</v>
      </c>
    </row>
    <row r="233" spans="1:6" x14ac:dyDescent="0.2">
      <c r="A233">
        <v>10006</v>
      </c>
      <c r="B233">
        <v>54480</v>
      </c>
      <c r="C233">
        <v>0</v>
      </c>
      <c r="D233">
        <v>-1</v>
      </c>
      <c r="F233" t="s">
        <v>279</v>
      </c>
    </row>
    <row r="234" spans="1:6" x14ac:dyDescent="0.2">
      <c r="A234">
        <v>10005</v>
      </c>
      <c r="B234">
        <v>54480</v>
      </c>
      <c r="C234">
        <v>-59</v>
      </c>
      <c r="D234">
        <v>0.03</v>
      </c>
      <c r="E234" t="s">
        <v>8</v>
      </c>
      <c r="F234" t="s">
        <v>279</v>
      </c>
    </row>
    <row r="235" spans="1:6" x14ac:dyDescent="0.2">
      <c r="A235">
        <v>10006</v>
      </c>
      <c r="B235">
        <v>54480</v>
      </c>
      <c r="C235">
        <v>0</v>
      </c>
      <c r="D235">
        <v>-1</v>
      </c>
      <c r="F235" t="s">
        <v>280</v>
      </c>
    </row>
    <row r="236" spans="1:6" x14ac:dyDescent="0.2">
      <c r="A236">
        <v>10005</v>
      </c>
      <c r="B236">
        <v>54480</v>
      </c>
      <c r="C236">
        <v>-60</v>
      </c>
      <c r="D236">
        <v>0.04</v>
      </c>
      <c r="E236" t="s">
        <v>8</v>
      </c>
      <c r="F236" t="s">
        <v>280</v>
      </c>
    </row>
    <row r="237" spans="1:6" x14ac:dyDescent="0.2">
      <c r="A237">
        <v>10004</v>
      </c>
      <c r="B237">
        <v>54480</v>
      </c>
      <c r="C237">
        <v>-90</v>
      </c>
      <c r="D237">
        <v>1.51</v>
      </c>
      <c r="E237" t="s">
        <v>6</v>
      </c>
      <c r="F237" t="s">
        <v>280</v>
      </c>
    </row>
    <row r="238" spans="1:6" x14ac:dyDescent="0.2">
      <c r="A238">
        <v>10006</v>
      </c>
      <c r="B238">
        <v>54480</v>
      </c>
      <c r="C238">
        <v>0</v>
      </c>
      <c r="D238">
        <v>-1</v>
      </c>
      <c r="F238" t="s">
        <v>281</v>
      </c>
    </row>
    <row r="239" spans="1:6" x14ac:dyDescent="0.2">
      <c r="A239">
        <v>10005</v>
      </c>
      <c r="B239">
        <v>54480</v>
      </c>
      <c r="C239">
        <v>-67</v>
      </c>
      <c r="D239">
        <v>7.0000000000000007E-2</v>
      </c>
      <c r="E239" t="s">
        <v>6</v>
      </c>
      <c r="F239" t="s">
        <v>281</v>
      </c>
    </row>
    <row r="240" spans="1:6" x14ac:dyDescent="0.2">
      <c r="A240">
        <v>10004</v>
      </c>
      <c r="B240">
        <v>54480</v>
      </c>
      <c r="C240">
        <v>-90</v>
      </c>
      <c r="D240">
        <v>1.6</v>
      </c>
      <c r="E240" t="s">
        <v>6</v>
      </c>
      <c r="F240" t="s">
        <v>281</v>
      </c>
    </row>
    <row r="241" spans="1:6" x14ac:dyDescent="0.2">
      <c r="A241">
        <v>10005</v>
      </c>
      <c r="B241">
        <v>54480</v>
      </c>
      <c r="C241">
        <v>-67</v>
      </c>
      <c r="D241">
        <v>0.08</v>
      </c>
      <c r="E241" t="s">
        <v>8</v>
      </c>
      <c r="F241" t="s">
        <v>282</v>
      </c>
    </row>
    <row r="242" spans="1:6" x14ac:dyDescent="0.2">
      <c r="A242">
        <v>10004</v>
      </c>
      <c r="B242">
        <v>54480</v>
      </c>
      <c r="C242">
        <v>-92</v>
      </c>
      <c r="D242">
        <v>1.79</v>
      </c>
      <c r="E242" t="s">
        <v>6</v>
      </c>
      <c r="F242" t="s">
        <v>282</v>
      </c>
    </row>
    <row r="243" spans="1:6" x14ac:dyDescent="0.2">
      <c r="A243">
        <v>10004</v>
      </c>
      <c r="B243">
        <v>54480</v>
      </c>
      <c r="C243">
        <v>0</v>
      </c>
      <c r="D243">
        <v>-1</v>
      </c>
      <c r="F243" t="s">
        <v>283</v>
      </c>
    </row>
    <row r="244" spans="1:6" x14ac:dyDescent="0.2">
      <c r="A244">
        <v>10005</v>
      </c>
      <c r="B244">
        <v>54480</v>
      </c>
      <c r="C244">
        <v>0</v>
      </c>
      <c r="D244">
        <v>-1</v>
      </c>
      <c r="F244" t="s">
        <v>283</v>
      </c>
    </row>
    <row r="245" spans="1:6" x14ac:dyDescent="0.2">
      <c r="A245">
        <v>10004</v>
      </c>
      <c r="B245">
        <v>54480</v>
      </c>
      <c r="C245">
        <v>0</v>
      </c>
      <c r="D245">
        <v>-1</v>
      </c>
      <c r="F245" t="s">
        <v>284</v>
      </c>
    </row>
    <row r="246" spans="1:6" x14ac:dyDescent="0.2">
      <c r="A246">
        <v>10005</v>
      </c>
      <c r="B246">
        <v>54480</v>
      </c>
      <c r="C246">
        <v>-65</v>
      </c>
      <c r="D246">
        <v>7.0000000000000007E-2</v>
      </c>
      <c r="E246" t="s">
        <v>8</v>
      </c>
      <c r="F246" t="s">
        <v>284</v>
      </c>
    </row>
    <row r="247" spans="1:6" x14ac:dyDescent="0.2">
      <c r="A247">
        <v>10006</v>
      </c>
      <c r="B247">
        <v>54480</v>
      </c>
      <c r="C247">
        <v>-91</v>
      </c>
      <c r="D247">
        <v>1.9</v>
      </c>
      <c r="E247" t="s">
        <v>6</v>
      </c>
      <c r="F247" t="s">
        <v>284</v>
      </c>
    </row>
    <row r="248" spans="1:6" x14ac:dyDescent="0.2">
      <c r="A248">
        <v>10004</v>
      </c>
      <c r="B248">
        <v>54480</v>
      </c>
      <c r="C248">
        <v>0</v>
      </c>
      <c r="D248">
        <v>-1</v>
      </c>
      <c r="F248" t="s">
        <v>285</v>
      </c>
    </row>
    <row r="249" spans="1:6" x14ac:dyDescent="0.2">
      <c r="A249">
        <v>10006</v>
      </c>
      <c r="B249">
        <v>54480</v>
      </c>
      <c r="C249">
        <v>0</v>
      </c>
      <c r="D249">
        <v>-1</v>
      </c>
      <c r="F249" t="s">
        <v>285</v>
      </c>
    </row>
    <row r="250" spans="1:6" x14ac:dyDescent="0.2">
      <c r="A250">
        <v>10005</v>
      </c>
      <c r="B250">
        <v>54480</v>
      </c>
      <c r="C250">
        <v>-68</v>
      </c>
      <c r="D250">
        <v>0.1</v>
      </c>
      <c r="E250" t="s">
        <v>8</v>
      </c>
      <c r="F250" t="s">
        <v>285</v>
      </c>
    </row>
    <row r="251" spans="1:6" x14ac:dyDescent="0.2">
      <c r="A251">
        <v>10006</v>
      </c>
      <c r="B251">
        <v>54480</v>
      </c>
      <c r="C251">
        <v>0</v>
      </c>
      <c r="D251">
        <v>-1</v>
      </c>
      <c r="F251" t="s">
        <v>286</v>
      </c>
    </row>
    <row r="252" spans="1:6" x14ac:dyDescent="0.2">
      <c r="A252">
        <v>10005</v>
      </c>
      <c r="B252">
        <v>54480</v>
      </c>
      <c r="C252">
        <v>-84</v>
      </c>
      <c r="D252">
        <v>0.27</v>
      </c>
      <c r="E252" t="s">
        <v>8</v>
      </c>
      <c r="F252" t="s">
        <v>286</v>
      </c>
    </row>
    <row r="253" spans="1:6" x14ac:dyDescent="0.2">
      <c r="A253">
        <v>10004</v>
      </c>
      <c r="B253">
        <v>54480</v>
      </c>
      <c r="C253">
        <v>-84</v>
      </c>
      <c r="D253">
        <v>1.24</v>
      </c>
      <c r="E253" t="s">
        <v>6</v>
      </c>
      <c r="F253" t="s">
        <v>286</v>
      </c>
    </row>
    <row r="254" spans="1:6" x14ac:dyDescent="0.2">
      <c r="A254">
        <v>10005</v>
      </c>
      <c r="B254">
        <v>54480</v>
      </c>
      <c r="C254">
        <v>-89</v>
      </c>
      <c r="D254">
        <v>0.51</v>
      </c>
      <c r="E254" t="s">
        <v>6</v>
      </c>
      <c r="F254" t="s">
        <v>287</v>
      </c>
    </row>
    <row r="255" spans="1:6" x14ac:dyDescent="0.2">
      <c r="A255">
        <v>10004</v>
      </c>
      <c r="B255">
        <v>54480</v>
      </c>
      <c r="C255">
        <v>-86</v>
      </c>
      <c r="D255">
        <v>1.06</v>
      </c>
      <c r="E255" t="s">
        <v>6</v>
      </c>
      <c r="F255" t="s">
        <v>287</v>
      </c>
    </row>
    <row r="256" spans="1:6" x14ac:dyDescent="0.2">
      <c r="A256">
        <v>10006</v>
      </c>
      <c r="B256">
        <v>54480</v>
      </c>
      <c r="C256">
        <v>-91</v>
      </c>
      <c r="D256">
        <v>1.9</v>
      </c>
      <c r="E256" t="s">
        <v>6</v>
      </c>
      <c r="F256" t="s">
        <v>287</v>
      </c>
    </row>
    <row r="257" spans="1:6" x14ac:dyDescent="0.2">
      <c r="A257">
        <v>10005</v>
      </c>
      <c r="B257">
        <v>54480</v>
      </c>
      <c r="C257">
        <v>0</v>
      </c>
      <c r="D257">
        <v>-1</v>
      </c>
      <c r="F257" t="s">
        <v>288</v>
      </c>
    </row>
    <row r="258" spans="1:6" x14ac:dyDescent="0.2">
      <c r="A258">
        <v>10004</v>
      </c>
      <c r="B258">
        <v>54480</v>
      </c>
      <c r="C258">
        <v>-91</v>
      </c>
      <c r="D258">
        <v>1.33</v>
      </c>
      <c r="E258" t="s">
        <v>6</v>
      </c>
      <c r="F258" t="s">
        <v>288</v>
      </c>
    </row>
    <row r="259" spans="1:6" x14ac:dyDescent="0.2">
      <c r="A259">
        <v>10006</v>
      </c>
      <c r="B259">
        <v>54480</v>
      </c>
      <c r="C259">
        <v>-91</v>
      </c>
      <c r="D259">
        <v>1.9</v>
      </c>
      <c r="E259" t="s">
        <v>6</v>
      </c>
      <c r="F259" t="s">
        <v>288</v>
      </c>
    </row>
    <row r="260" spans="1:6" x14ac:dyDescent="0.2">
      <c r="A260">
        <v>10005</v>
      </c>
      <c r="B260">
        <v>54480</v>
      </c>
      <c r="C260">
        <v>-79</v>
      </c>
      <c r="D260">
        <v>0.46</v>
      </c>
      <c r="E260" t="s">
        <v>6</v>
      </c>
      <c r="F260" t="s">
        <v>289</v>
      </c>
    </row>
    <row r="261" spans="1:6" x14ac:dyDescent="0.2">
      <c r="A261">
        <v>10006</v>
      </c>
      <c r="B261">
        <v>54480</v>
      </c>
      <c r="C261">
        <v>-81</v>
      </c>
      <c r="D261">
        <v>0.91</v>
      </c>
      <c r="E261" t="s">
        <v>6</v>
      </c>
      <c r="F261" t="s">
        <v>289</v>
      </c>
    </row>
    <row r="262" spans="1:6" x14ac:dyDescent="0.2">
      <c r="A262">
        <v>10004</v>
      </c>
      <c r="B262">
        <v>54480</v>
      </c>
      <c r="C262">
        <v>-92</v>
      </c>
      <c r="D262">
        <v>1.56</v>
      </c>
      <c r="E262" t="s">
        <v>6</v>
      </c>
      <c r="F262" t="s">
        <v>289</v>
      </c>
    </row>
    <row r="263" spans="1:6" x14ac:dyDescent="0.2">
      <c r="A263">
        <v>10005</v>
      </c>
      <c r="B263">
        <v>54480</v>
      </c>
      <c r="C263">
        <v>-85</v>
      </c>
      <c r="D263">
        <v>0.67</v>
      </c>
      <c r="E263" t="s">
        <v>6</v>
      </c>
      <c r="F263" t="s">
        <v>290</v>
      </c>
    </row>
    <row r="264" spans="1:6" x14ac:dyDescent="0.2">
      <c r="A264">
        <v>10006</v>
      </c>
      <c r="B264">
        <v>54480</v>
      </c>
      <c r="C264">
        <v>-81</v>
      </c>
      <c r="D264">
        <v>0.71</v>
      </c>
      <c r="E264" t="s">
        <v>6</v>
      </c>
      <c r="F264" t="s">
        <v>290</v>
      </c>
    </row>
    <row r="265" spans="1:6" x14ac:dyDescent="0.2">
      <c r="A265">
        <v>10004</v>
      </c>
      <c r="B265">
        <v>54480</v>
      </c>
      <c r="C265">
        <v>-85</v>
      </c>
      <c r="D265">
        <v>1.24</v>
      </c>
      <c r="E265" t="s">
        <v>6</v>
      </c>
      <c r="F265" t="s">
        <v>290</v>
      </c>
    </row>
    <row r="266" spans="1:6" x14ac:dyDescent="0.2">
      <c r="A266">
        <v>10006</v>
      </c>
      <c r="B266">
        <v>54480</v>
      </c>
      <c r="C266">
        <v>-79</v>
      </c>
      <c r="D266">
        <v>0.55000000000000004</v>
      </c>
      <c r="E266" t="s">
        <v>6</v>
      </c>
      <c r="F266" t="s">
        <v>291</v>
      </c>
    </row>
    <row r="267" spans="1:6" x14ac:dyDescent="0.2">
      <c r="A267">
        <v>10005</v>
      </c>
      <c r="B267">
        <v>54480</v>
      </c>
      <c r="C267">
        <v>-83</v>
      </c>
      <c r="D267">
        <v>0.68</v>
      </c>
      <c r="E267" t="s">
        <v>6</v>
      </c>
      <c r="F267" t="s">
        <v>291</v>
      </c>
    </row>
    <row r="268" spans="1:6" x14ac:dyDescent="0.2">
      <c r="A268">
        <v>10004</v>
      </c>
      <c r="B268">
        <v>54480</v>
      </c>
      <c r="C268">
        <v>-86</v>
      </c>
      <c r="D268">
        <v>1.1499999999999999</v>
      </c>
      <c r="E268" t="s">
        <v>6</v>
      </c>
      <c r="F268" t="s">
        <v>291</v>
      </c>
    </row>
    <row r="269" spans="1:6" x14ac:dyDescent="0.2">
      <c r="A269">
        <v>10005</v>
      </c>
      <c r="B269">
        <v>54480</v>
      </c>
      <c r="C269">
        <v>-73</v>
      </c>
      <c r="D269">
        <v>0.32</v>
      </c>
      <c r="E269" t="s">
        <v>8</v>
      </c>
      <c r="F269" t="s">
        <v>292</v>
      </c>
    </row>
    <row r="270" spans="1:6" x14ac:dyDescent="0.2">
      <c r="A270">
        <v>10006</v>
      </c>
      <c r="B270">
        <v>54480</v>
      </c>
      <c r="C270">
        <v>-74</v>
      </c>
      <c r="D270">
        <v>0.34</v>
      </c>
      <c r="E270" t="s">
        <v>6</v>
      </c>
      <c r="F270" t="s">
        <v>292</v>
      </c>
    </row>
    <row r="271" spans="1:6" x14ac:dyDescent="0.2">
      <c r="A271">
        <v>10004</v>
      </c>
      <c r="B271">
        <v>54480</v>
      </c>
      <c r="C271">
        <v>-91</v>
      </c>
      <c r="D271">
        <v>1.32</v>
      </c>
      <c r="E271" t="s">
        <v>6</v>
      </c>
      <c r="F271" t="s">
        <v>292</v>
      </c>
    </row>
    <row r="272" spans="1:6" x14ac:dyDescent="0.2">
      <c r="A272">
        <v>10005</v>
      </c>
      <c r="B272">
        <v>54480</v>
      </c>
      <c r="C272">
        <v>0</v>
      </c>
      <c r="D272">
        <v>-1</v>
      </c>
      <c r="F272" t="s">
        <v>293</v>
      </c>
    </row>
    <row r="273" spans="1:6" x14ac:dyDescent="0.2">
      <c r="A273">
        <v>10006</v>
      </c>
      <c r="B273">
        <v>54480</v>
      </c>
      <c r="C273">
        <v>-63</v>
      </c>
      <c r="D273">
        <v>0.09</v>
      </c>
      <c r="E273" t="s">
        <v>8</v>
      </c>
      <c r="F273" t="s">
        <v>293</v>
      </c>
    </row>
    <row r="274" spans="1:6" x14ac:dyDescent="0.2">
      <c r="A274">
        <v>10004</v>
      </c>
      <c r="B274">
        <v>54480</v>
      </c>
      <c r="C274">
        <v>-86</v>
      </c>
      <c r="D274">
        <v>1.2</v>
      </c>
      <c r="E274" t="s">
        <v>6</v>
      </c>
      <c r="F274" t="s">
        <v>293</v>
      </c>
    </row>
    <row r="275" spans="1:6" x14ac:dyDescent="0.2">
      <c r="A275">
        <v>10005</v>
      </c>
      <c r="B275">
        <v>54480</v>
      </c>
      <c r="C275">
        <v>0</v>
      </c>
      <c r="D275">
        <v>-1</v>
      </c>
      <c r="F275" t="s">
        <v>294</v>
      </c>
    </row>
    <row r="276" spans="1:6" x14ac:dyDescent="0.2">
      <c r="A276">
        <v>10006</v>
      </c>
      <c r="B276">
        <v>54480</v>
      </c>
      <c r="C276">
        <v>-55</v>
      </c>
      <c r="D276">
        <v>0.02</v>
      </c>
      <c r="E276" t="s">
        <v>8</v>
      </c>
      <c r="F276" t="s">
        <v>294</v>
      </c>
    </row>
    <row r="277" spans="1:6" x14ac:dyDescent="0.2">
      <c r="A277">
        <v>10004</v>
      </c>
      <c r="B277">
        <v>54480</v>
      </c>
      <c r="C277">
        <v>-88</v>
      </c>
      <c r="D277">
        <v>1.23</v>
      </c>
      <c r="E277" t="s">
        <v>6</v>
      </c>
      <c r="F277" t="s">
        <v>294</v>
      </c>
    </row>
    <row r="278" spans="1:6" x14ac:dyDescent="0.2">
      <c r="A278">
        <v>10006</v>
      </c>
      <c r="B278">
        <v>54480</v>
      </c>
      <c r="C278">
        <v>-55</v>
      </c>
      <c r="D278">
        <v>0.02</v>
      </c>
      <c r="E278" t="s">
        <v>8</v>
      </c>
      <c r="F278" t="s">
        <v>295</v>
      </c>
    </row>
    <row r="279" spans="1:6" x14ac:dyDescent="0.2">
      <c r="A279">
        <v>10005</v>
      </c>
      <c r="B279">
        <v>54480</v>
      </c>
      <c r="C279">
        <v>-81</v>
      </c>
      <c r="D279">
        <v>0.4</v>
      </c>
      <c r="E279" t="s">
        <v>8</v>
      </c>
      <c r="F279" t="s">
        <v>295</v>
      </c>
    </row>
    <row r="280" spans="1:6" x14ac:dyDescent="0.2">
      <c r="A280">
        <v>10004</v>
      </c>
      <c r="B280">
        <v>54480</v>
      </c>
      <c r="C280">
        <v>-87</v>
      </c>
      <c r="D280">
        <v>1.2</v>
      </c>
      <c r="E280" t="s">
        <v>6</v>
      </c>
      <c r="F280" t="s">
        <v>295</v>
      </c>
    </row>
    <row r="281" spans="1:6" x14ac:dyDescent="0.2">
      <c r="A281">
        <v>10006</v>
      </c>
      <c r="B281">
        <v>54480</v>
      </c>
      <c r="C281">
        <v>0</v>
      </c>
      <c r="D281">
        <v>-1</v>
      </c>
      <c r="F281" t="s">
        <v>296</v>
      </c>
    </row>
    <row r="282" spans="1:6" x14ac:dyDescent="0.2">
      <c r="A282">
        <v>10005</v>
      </c>
      <c r="B282">
        <v>54480</v>
      </c>
      <c r="C282">
        <v>-80</v>
      </c>
      <c r="D282">
        <v>0.45</v>
      </c>
      <c r="E282" t="s">
        <v>6</v>
      </c>
      <c r="F282" t="s">
        <v>296</v>
      </c>
    </row>
    <row r="283" spans="1:6" x14ac:dyDescent="0.2">
      <c r="A283">
        <v>10004</v>
      </c>
      <c r="B283">
        <v>54480</v>
      </c>
      <c r="C283">
        <v>-94</v>
      </c>
      <c r="D283">
        <v>1.46</v>
      </c>
      <c r="E283" t="s">
        <v>6</v>
      </c>
      <c r="F283" t="s">
        <v>296</v>
      </c>
    </row>
    <row r="284" spans="1:6" x14ac:dyDescent="0.2">
      <c r="A284">
        <v>10006</v>
      </c>
      <c r="B284">
        <v>54480</v>
      </c>
      <c r="C284">
        <v>-75</v>
      </c>
      <c r="D284">
        <v>0.12</v>
      </c>
      <c r="E284" t="s">
        <v>8</v>
      </c>
      <c r="F284" t="s">
        <v>297</v>
      </c>
    </row>
    <row r="285" spans="1:6" x14ac:dyDescent="0.2">
      <c r="A285">
        <v>10005</v>
      </c>
      <c r="B285">
        <v>54480</v>
      </c>
      <c r="C285">
        <v>-81</v>
      </c>
      <c r="D285">
        <v>0.49</v>
      </c>
      <c r="E285" t="s">
        <v>6</v>
      </c>
      <c r="F285" t="s">
        <v>297</v>
      </c>
    </row>
    <row r="286" spans="1:6" x14ac:dyDescent="0.2">
      <c r="A286">
        <v>10004</v>
      </c>
      <c r="B286">
        <v>54480</v>
      </c>
      <c r="C286">
        <v>-88</v>
      </c>
      <c r="D286">
        <v>1.4</v>
      </c>
      <c r="E286" t="s">
        <v>6</v>
      </c>
      <c r="F286" t="s">
        <v>297</v>
      </c>
    </row>
    <row r="287" spans="1:6" x14ac:dyDescent="0.2">
      <c r="A287">
        <v>10004</v>
      </c>
      <c r="B287">
        <v>54480</v>
      </c>
      <c r="C287">
        <v>0</v>
      </c>
      <c r="D287">
        <v>-1</v>
      </c>
      <c r="F287" t="s">
        <v>298</v>
      </c>
    </row>
    <row r="288" spans="1:6" x14ac:dyDescent="0.2">
      <c r="A288">
        <v>10006</v>
      </c>
      <c r="B288">
        <v>54480</v>
      </c>
      <c r="C288">
        <v>-71</v>
      </c>
      <c r="D288">
        <v>0.14000000000000001</v>
      </c>
      <c r="E288" t="s">
        <v>8</v>
      </c>
      <c r="F288" t="s">
        <v>298</v>
      </c>
    </row>
    <row r="289" spans="1:6" x14ac:dyDescent="0.2">
      <c r="A289">
        <v>10005</v>
      </c>
      <c r="B289">
        <v>54480</v>
      </c>
      <c r="C289">
        <v>-81</v>
      </c>
      <c r="D289">
        <v>0.51</v>
      </c>
      <c r="E289" t="s">
        <v>6</v>
      </c>
      <c r="F289" t="s">
        <v>298</v>
      </c>
    </row>
    <row r="290" spans="1:6" x14ac:dyDescent="0.2">
      <c r="A290">
        <v>10004</v>
      </c>
      <c r="B290">
        <v>54480</v>
      </c>
      <c r="C290">
        <v>0</v>
      </c>
      <c r="D290">
        <v>-1</v>
      </c>
      <c r="F290" t="s">
        <v>299</v>
      </c>
    </row>
    <row r="291" spans="1:6" x14ac:dyDescent="0.2">
      <c r="A291">
        <v>10005</v>
      </c>
      <c r="B291">
        <v>54480</v>
      </c>
      <c r="C291">
        <v>0</v>
      </c>
      <c r="D291">
        <v>-1</v>
      </c>
      <c r="F291" t="s">
        <v>299</v>
      </c>
    </row>
    <row r="292" spans="1:6" x14ac:dyDescent="0.2">
      <c r="A292">
        <v>10006</v>
      </c>
      <c r="B292">
        <v>54480</v>
      </c>
      <c r="C292">
        <v>-71</v>
      </c>
      <c r="D292">
        <v>0.15</v>
      </c>
      <c r="E292" t="s">
        <v>8</v>
      </c>
      <c r="F292" t="s">
        <v>299</v>
      </c>
    </row>
    <row r="293" spans="1:6" x14ac:dyDescent="0.2">
      <c r="A293">
        <v>10006</v>
      </c>
      <c r="B293">
        <v>54480</v>
      </c>
      <c r="C293">
        <v>-70</v>
      </c>
      <c r="D293">
        <v>0.13</v>
      </c>
      <c r="E293" t="s">
        <v>8</v>
      </c>
      <c r="F293" t="s">
        <v>300</v>
      </c>
    </row>
    <row r="294" spans="1:6" x14ac:dyDescent="0.2">
      <c r="A294">
        <v>10005</v>
      </c>
      <c r="B294">
        <v>54480</v>
      </c>
      <c r="C294">
        <v>-78</v>
      </c>
      <c r="D294">
        <v>0.43</v>
      </c>
      <c r="E294" t="s">
        <v>6</v>
      </c>
      <c r="F294" t="s">
        <v>300</v>
      </c>
    </row>
    <row r="295" spans="1:6" x14ac:dyDescent="0.2">
      <c r="A295">
        <v>10004</v>
      </c>
      <c r="B295">
        <v>54480</v>
      </c>
      <c r="C295">
        <v>-93</v>
      </c>
      <c r="D295">
        <v>1.61</v>
      </c>
      <c r="E295" t="s">
        <v>6</v>
      </c>
      <c r="F295" t="s">
        <v>300</v>
      </c>
    </row>
    <row r="296" spans="1:6" x14ac:dyDescent="0.2">
      <c r="A296">
        <v>10004</v>
      </c>
      <c r="B296">
        <v>54480</v>
      </c>
      <c r="C296">
        <v>0</v>
      </c>
      <c r="D296">
        <v>-1</v>
      </c>
      <c r="F296" t="s">
        <v>301</v>
      </c>
    </row>
    <row r="297" spans="1:6" x14ac:dyDescent="0.2">
      <c r="A297">
        <v>10006</v>
      </c>
      <c r="B297">
        <v>54480</v>
      </c>
      <c r="C297">
        <v>0</v>
      </c>
      <c r="D297">
        <v>-1</v>
      </c>
      <c r="F297" t="s">
        <v>301</v>
      </c>
    </row>
    <row r="298" spans="1:6" x14ac:dyDescent="0.2">
      <c r="A298">
        <v>10005</v>
      </c>
      <c r="B298">
        <v>54480</v>
      </c>
      <c r="C298">
        <v>-78</v>
      </c>
      <c r="D298">
        <v>0.38</v>
      </c>
      <c r="E298" t="s">
        <v>6</v>
      </c>
      <c r="F298" t="s">
        <v>301</v>
      </c>
    </row>
    <row r="299" spans="1:6" x14ac:dyDescent="0.2">
      <c r="A299">
        <v>10006</v>
      </c>
      <c r="B299">
        <v>54480</v>
      </c>
      <c r="C299">
        <v>-54</v>
      </c>
      <c r="D299">
        <v>0.02</v>
      </c>
      <c r="E299" t="s">
        <v>8</v>
      </c>
      <c r="F299" t="s">
        <v>302</v>
      </c>
    </row>
    <row r="300" spans="1:6" x14ac:dyDescent="0.2">
      <c r="A300">
        <v>10005</v>
      </c>
      <c r="B300">
        <v>54480</v>
      </c>
      <c r="C300">
        <v>-84</v>
      </c>
      <c r="D300">
        <v>0.52</v>
      </c>
      <c r="E300" t="s">
        <v>6</v>
      </c>
      <c r="F300" t="s">
        <v>302</v>
      </c>
    </row>
    <row r="301" spans="1:6" x14ac:dyDescent="0.2">
      <c r="A301">
        <v>10004</v>
      </c>
      <c r="B301">
        <v>54480</v>
      </c>
      <c r="C301">
        <v>-88</v>
      </c>
      <c r="D301">
        <v>1.41</v>
      </c>
      <c r="E301" t="s">
        <v>6</v>
      </c>
      <c r="F301" t="s">
        <v>302</v>
      </c>
    </row>
    <row r="302" spans="1:6" x14ac:dyDescent="0.2">
      <c r="A302">
        <v>10006</v>
      </c>
      <c r="B302">
        <v>54480</v>
      </c>
      <c r="C302">
        <v>0</v>
      </c>
      <c r="D302">
        <v>-1</v>
      </c>
      <c r="F302" t="s">
        <v>303</v>
      </c>
    </row>
    <row r="303" spans="1:6" x14ac:dyDescent="0.2">
      <c r="A303">
        <v>10005</v>
      </c>
      <c r="B303">
        <v>54480</v>
      </c>
      <c r="C303">
        <v>-86</v>
      </c>
      <c r="D303">
        <v>0.67</v>
      </c>
      <c r="E303" t="s">
        <v>6</v>
      </c>
      <c r="F303" t="s">
        <v>303</v>
      </c>
    </row>
    <row r="304" spans="1:6" x14ac:dyDescent="0.2">
      <c r="A304">
        <v>10004</v>
      </c>
      <c r="B304">
        <v>54480</v>
      </c>
      <c r="C304">
        <v>-89</v>
      </c>
      <c r="D304">
        <v>1.44</v>
      </c>
      <c r="E304" t="s">
        <v>6</v>
      </c>
      <c r="F304" t="s">
        <v>303</v>
      </c>
    </row>
    <row r="305" spans="1:6" x14ac:dyDescent="0.2">
      <c r="A305">
        <v>10006</v>
      </c>
      <c r="B305">
        <v>54480</v>
      </c>
      <c r="C305">
        <v>-55</v>
      </c>
      <c r="D305">
        <v>0.02</v>
      </c>
      <c r="E305" t="s">
        <v>8</v>
      </c>
      <c r="F305" t="s">
        <v>304</v>
      </c>
    </row>
    <row r="306" spans="1:6" x14ac:dyDescent="0.2">
      <c r="A306">
        <v>10005</v>
      </c>
      <c r="B306">
        <v>54480</v>
      </c>
      <c r="C306">
        <v>-78</v>
      </c>
      <c r="D306">
        <v>0.49</v>
      </c>
      <c r="E306" t="s">
        <v>6</v>
      </c>
      <c r="F306" t="s">
        <v>304</v>
      </c>
    </row>
    <row r="307" spans="1:6" x14ac:dyDescent="0.2">
      <c r="A307">
        <v>10004</v>
      </c>
      <c r="B307">
        <v>54480</v>
      </c>
      <c r="C307">
        <v>-88</v>
      </c>
      <c r="D307">
        <v>1.38</v>
      </c>
      <c r="E307" t="s">
        <v>6</v>
      </c>
      <c r="F307" t="s">
        <v>304</v>
      </c>
    </row>
    <row r="308" spans="1:6" x14ac:dyDescent="0.2">
      <c r="A308">
        <v>10006</v>
      </c>
      <c r="B308">
        <v>54480</v>
      </c>
      <c r="C308">
        <v>-68</v>
      </c>
      <c r="D308">
        <v>0.09</v>
      </c>
      <c r="E308" t="s">
        <v>8</v>
      </c>
      <c r="F308" t="s">
        <v>305</v>
      </c>
    </row>
    <row r="309" spans="1:6" x14ac:dyDescent="0.2">
      <c r="A309">
        <v>10005</v>
      </c>
      <c r="B309">
        <v>54480</v>
      </c>
      <c r="C309">
        <v>-78</v>
      </c>
      <c r="D309">
        <v>0.42</v>
      </c>
      <c r="E309" t="s">
        <v>6</v>
      </c>
      <c r="F309" t="s">
        <v>305</v>
      </c>
    </row>
    <row r="310" spans="1:6" x14ac:dyDescent="0.2">
      <c r="A310">
        <v>10004</v>
      </c>
      <c r="B310">
        <v>54480</v>
      </c>
      <c r="C310">
        <v>-87</v>
      </c>
      <c r="D310">
        <v>1.29</v>
      </c>
      <c r="E310" t="s">
        <v>6</v>
      </c>
      <c r="F310" t="s">
        <v>305</v>
      </c>
    </row>
    <row r="311" spans="1:6" x14ac:dyDescent="0.2">
      <c r="A311">
        <v>10006</v>
      </c>
      <c r="B311">
        <v>54480</v>
      </c>
      <c r="C311">
        <v>-80</v>
      </c>
      <c r="D311">
        <v>0.22</v>
      </c>
      <c r="E311" t="s">
        <v>8</v>
      </c>
      <c r="F311" t="s">
        <v>306</v>
      </c>
    </row>
    <row r="312" spans="1:6" x14ac:dyDescent="0.2">
      <c r="A312">
        <v>10005</v>
      </c>
      <c r="B312">
        <v>54480</v>
      </c>
      <c r="C312">
        <v>-84</v>
      </c>
      <c r="D312">
        <v>0.53</v>
      </c>
      <c r="E312" t="s">
        <v>6</v>
      </c>
      <c r="F312" t="s">
        <v>306</v>
      </c>
    </row>
    <row r="313" spans="1:6" x14ac:dyDescent="0.2">
      <c r="A313">
        <v>10004</v>
      </c>
      <c r="B313">
        <v>54480</v>
      </c>
      <c r="C313">
        <v>-96</v>
      </c>
      <c r="D313">
        <v>1.62</v>
      </c>
      <c r="E313" t="s">
        <v>6</v>
      </c>
      <c r="F313" t="s">
        <v>306</v>
      </c>
    </row>
    <row r="314" spans="1:6" x14ac:dyDescent="0.2">
      <c r="A314">
        <v>10006</v>
      </c>
      <c r="B314">
        <v>54480</v>
      </c>
      <c r="C314">
        <v>-81</v>
      </c>
      <c r="D314">
        <v>0.34</v>
      </c>
      <c r="E314" t="s">
        <v>6</v>
      </c>
      <c r="F314" t="s">
        <v>307</v>
      </c>
    </row>
    <row r="315" spans="1:6" x14ac:dyDescent="0.2">
      <c r="A315">
        <v>10005</v>
      </c>
      <c r="B315">
        <v>54480</v>
      </c>
      <c r="C315">
        <v>-78</v>
      </c>
      <c r="D315">
        <v>0.44</v>
      </c>
      <c r="E315" t="s">
        <v>6</v>
      </c>
      <c r="F315" t="s">
        <v>307</v>
      </c>
    </row>
    <row r="316" spans="1:6" x14ac:dyDescent="0.2">
      <c r="A316">
        <v>10004</v>
      </c>
      <c r="B316">
        <v>54480</v>
      </c>
      <c r="C316">
        <v>-96</v>
      </c>
      <c r="D316">
        <v>1.94</v>
      </c>
      <c r="E316" t="s">
        <v>6</v>
      </c>
      <c r="F316" t="s">
        <v>307</v>
      </c>
    </row>
    <row r="317" spans="1:6" x14ac:dyDescent="0.2">
      <c r="A317">
        <v>10006</v>
      </c>
      <c r="B317">
        <v>54480</v>
      </c>
      <c r="C317">
        <v>0</v>
      </c>
      <c r="D317">
        <v>-1</v>
      </c>
      <c r="F317" t="s">
        <v>308</v>
      </c>
    </row>
    <row r="318" spans="1:6" x14ac:dyDescent="0.2">
      <c r="A318">
        <v>10005</v>
      </c>
      <c r="B318">
        <v>54480</v>
      </c>
      <c r="C318">
        <v>-78</v>
      </c>
      <c r="D318">
        <v>0.4</v>
      </c>
      <c r="E318" t="s">
        <v>6</v>
      </c>
      <c r="F318" t="s">
        <v>308</v>
      </c>
    </row>
    <row r="319" spans="1:6" x14ac:dyDescent="0.2">
      <c r="A319">
        <v>10004</v>
      </c>
      <c r="B319">
        <v>54480</v>
      </c>
      <c r="C319">
        <v>-86</v>
      </c>
      <c r="D319">
        <v>1.54</v>
      </c>
      <c r="E319" t="s">
        <v>6</v>
      </c>
      <c r="F319" t="s">
        <v>308</v>
      </c>
    </row>
    <row r="320" spans="1:6" x14ac:dyDescent="0.2">
      <c r="A320">
        <v>10006</v>
      </c>
      <c r="B320">
        <v>54480</v>
      </c>
      <c r="C320">
        <v>-47</v>
      </c>
      <c r="D320">
        <v>0.01</v>
      </c>
      <c r="E320" t="s">
        <v>8</v>
      </c>
      <c r="F320" t="s">
        <v>309</v>
      </c>
    </row>
    <row r="321" spans="1:6" x14ac:dyDescent="0.2">
      <c r="A321">
        <v>10005</v>
      </c>
      <c r="B321">
        <v>54480</v>
      </c>
      <c r="C321">
        <v>-87</v>
      </c>
      <c r="D321">
        <v>0.57999999999999996</v>
      </c>
      <c r="E321" t="s">
        <v>6</v>
      </c>
      <c r="F321" t="s">
        <v>309</v>
      </c>
    </row>
    <row r="322" spans="1:6" x14ac:dyDescent="0.2">
      <c r="A322">
        <v>10004</v>
      </c>
      <c r="B322">
        <v>54480</v>
      </c>
      <c r="C322">
        <v>-86</v>
      </c>
      <c r="D322">
        <v>1.33</v>
      </c>
      <c r="E322" t="s">
        <v>6</v>
      </c>
      <c r="F322" t="s">
        <v>309</v>
      </c>
    </row>
    <row r="323" spans="1:6" x14ac:dyDescent="0.2">
      <c r="A323">
        <v>10006</v>
      </c>
      <c r="B323">
        <v>54480</v>
      </c>
      <c r="C323">
        <v>-44</v>
      </c>
      <c r="D323">
        <v>0</v>
      </c>
      <c r="E323" t="s">
        <v>8</v>
      </c>
      <c r="F323" t="s">
        <v>310</v>
      </c>
    </row>
    <row r="324" spans="1:6" x14ac:dyDescent="0.2">
      <c r="A324">
        <v>10005</v>
      </c>
      <c r="B324">
        <v>54480</v>
      </c>
      <c r="C324">
        <v>-83</v>
      </c>
      <c r="D324">
        <v>0.62</v>
      </c>
      <c r="E324" t="s">
        <v>6</v>
      </c>
      <c r="F324" t="s">
        <v>310</v>
      </c>
    </row>
    <row r="325" spans="1:6" x14ac:dyDescent="0.2">
      <c r="A325">
        <v>10004</v>
      </c>
      <c r="B325">
        <v>54480</v>
      </c>
      <c r="C325">
        <v>-90</v>
      </c>
      <c r="D325">
        <v>1.42</v>
      </c>
      <c r="E325" t="s">
        <v>6</v>
      </c>
      <c r="F325" t="s">
        <v>310</v>
      </c>
    </row>
    <row r="326" spans="1:6" x14ac:dyDescent="0.2">
      <c r="A326">
        <v>10005</v>
      </c>
      <c r="B326">
        <v>54480</v>
      </c>
      <c r="C326">
        <v>0</v>
      </c>
      <c r="D326">
        <v>-1</v>
      </c>
      <c r="F326" t="s">
        <v>311</v>
      </c>
    </row>
    <row r="327" spans="1:6" x14ac:dyDescent="0.2">
      <c r="A327">
        <v>10006</v>
      </c>
      <c r="B327">
        <v>54480</v>
      </c>
      <c r="C327">
        <v>-45</v>
      </c>
      <c r="D327">
        <v>0.01</v>
      </c>
      <c r="E327" t="s">
        <v>8</v>
      </c>
      <c r="F327" t="s">
        <v>311</v>
      </c>
    </row>
    <row r="328" spans="1:6" x14ac:dyDescent="0.2">
      <c r="A328">
        <v>10004</v>
      </c>
      <c r="B328">
        <v>54480</v>
      </c>
      <c r="C328">
        <v>-94</v>
      </c>
      <c r="D328">
        <v>1.65</v>
      </c>
      <c r="E328" t="s">
        <v>6</v>
      </c>
      <c r="F328" t="s">
        <v>311</v>
      </c>
    </row>
    <row r="329" spans="1:6" x14ac:dyDescent="0.2">
      <c r="A329">
        <v>10005</v>
      </c>
      <c r="B329">
        <v>54480</v>
      </c>
      <c r="C329">
        <v>0</v>
      </c>
      <c r="D329">
        <v>-1</v>
      </c>
      <c r="F329" t="s">
        <v>312</v>
      </c>
    </row>
    <row r="330" spans="1:6" x14ac:dyDescent="0.2">
      <c r="A330">
        <v>10006</v>
      </c>
      <c r="B330">
        <v>54480</v>
      </c>
      <c r="C330">
        <v>-78</v>
      </c>
      <c r="D330">
        <v>0.12</v>
      </c>
      <c r="E330" t="s">
        <v>6</v>
      </c>
      <c r="F330" t="s">
        <v>312</v>
      </c>
    </row>
    <row r="331" spans="1:6" x14ac:dyDescent="0.2">
      <c r="A331">
        <v>10004</v>
      </c>
      <c r="B331">
        <v>54480</v>
      </c>
      <c r="C331">
        <v>-94</v>
      </c>
      <c r="D331">
        <v>1.87</v>
      </c>
      <c r="E331" t="s">
        <v>6</v>
      </c>
      <c r="F331" t="s">
        <v>312</v>
      </c>
    </row>
    <row r="332" spans="1:6" x14ac:dyDescent="0.2">
      <c r="A332">
        <v>10006</v>
      </c>
      <c r="B332">
        <v>54480</v>
      </c>
      <c r="C332">
        <v>-78</v>
      </c>
      <c r="D332">
        <v>0.23</v>
      </c>
      <c r="E332" t="s">
        <v>6</v>
      </c>
      <c r="F332" t="s">
        <v>313</v>
      </c>
    </row>
    <row r="333" spans="1:6" x14ac:dyDescent="0.2">
      <c r="A333">
        <v>10005</v>
      </c>
      <c r="B333">
        <v>54480</v>
      </c>
      <c r="C333">
        <v>-86</v>
      </c>
      <c r="D333">
        <v>0.74</v>
      </c>
      <c r="E333" t="s">
        <v>6</v>
      </c>
      <c r="F333" t="s">
        <v>313</v>
      </c>
    </row>
    <row r="334" spans="1:6" x14ac:dyDescent="0.2">
      <c r="A334">
        <v>10004</v>
      </c>
      <c r="B334">
        <v>54480</v>
      </c>
      <c r="C334">
        <v>-94</v>
      </c>
      <c r="D334">
        <v>2.06</v>
      </c>
      <c r="E334" t="s">
        <v>72</v>
      </c>
      <c r="F334" t="s">
        <v>313</v>
      </c>
    </row>
    <row r="335" spans="1:6" x14ac:dyDescent="0.2">
      <c r="A335">
        <v>10006</v>
      </c>
      <c r="B335">
        <v>54480</v>
      </c>
      <c r="C335">
        <v>-78</v>
      </c>
      <c r="D335">
        <v>0.28999999999999998</v>
      </c>
      <c r="E335" t="s">
        <v>6</v>
      </c>
      <c r="F335" t="s">
        <v>314</v>
      </c>
    </row>
    <row r="336" spans="1:6" x14ac:dyDescent="0.2">
      <c r="A336">
        <v>10005</v>
      </c>
      <c r="B336">
        <v>54480</v>
      </c>
      <c r="C336">
        <v>-90</v>
      </c>
      <c r="D336">
        <v>1.23</v>
      </c>
      <c r="E336" t="s">
        <v>6</v>
      </c>
      <c r="F336" t="s">
        <v>314</v>
      </c>
    </row>
    <row r="337" spans="1:6" x14ac:dyDescent="0.2">
      <c r="A337">
        <v>10004</v>
      </c>
      <c r="B337">
        <v>54480</v>
      </c>
      <c r="C337">
        <v>-94</v>
      </c>
      <c r="D337">
        <v>2.21</v>
      </c>
      <c r="E337" t="s">
        <v>72</v>
      </c>
      <c r="F337" t="s">
        <v>314</v>
      </c>
    </row>
    <row r="338" spans="1:6" x14ac:dyDescent="0.2">
      <c r="A338">
        <v>10004</v>
      </c>
      <c r="B338">
        <v>54480</v>
      </c>
      <c r="C338">
        <v>0</v>
      </c>
      <c r="D338">
        <v>-1</v>
      </c>
      <c r="F338" t="s">
        <v>315</v>
      </c>
    </row>
    <row r="339" spans="1:6" x14ac:dyDescent="0.2">
      <c r="A339">
        <v>10006</v>
      </c>
      <c r="B339">
        <v>54480</v>
      </c>
      <c r="C339">
        <v>-68</v>
      </c>
      <c r="D339">
        <v>0.14000000000000001</v>
      </c>
      <c r="E339" t="s">
        <v>8</v>
      </c>
      <c r="F339" t="s">
        <v>315</v>
      </c>
    </row>
    <row r="340" spans="1:6" x14ac:dyDescent="0.2">
      <c r="A340">
        <v>10005</v>
      </c>
      <c r="B340">
        <v>54480</v>
      </c>
      <c r="C340">
        <v>-83</v>
      </c>
      <c r="D340">
        <v>0.9</v>
      </c>
      <c r="E340" t="s">
        <v>6</v>
      </c>
      <c r="F340" t="s">
        <v>315</v>
      </c>
    </row>
    <row r="341" spans="1:6" x14ac:dyDescent="0.2">
      <c r="A341">
        <v>10004</v>
      </c>
      <c r="B341">
        <v>54480</v>
      </c>
      <c r="C341">
        <v>0</v>
      </c>
      <c r="D341">
        <v>-1</v>
      </c>
      <c r="F341" t="s">
        <v>316</v>
      </c>
    </row>
    <row r="342" spans="1:6" x14ac:dyDescent="0.2">
      <c r="A342">
        <v>10006</v>
      </c>
      <c r="B342">
        <v>54480</v>
      </c>
      <c r="C342">
        <v>-67</v>
      </c>
      <c r="D342">
        <v>0.1</v>
      </c>
      <c r="E342" t="s">
        <v>8</v>
      </c>
      <c r="F342" t="s">
        <v>316</v>
      </c>
    </row>
    <row r="343" spans="1:6" x14ac:dyDescent="0.2">
      <c r="A343">
        <v>10005</v>
      </c>
      <c r="B343">
        <v>54480</v>
      </c>
      <c r="C343">
        <v>-93</v>
      </c>
      <c r="D343">
        <v>1.2</v>
      </c>
      <c r="E343" t="s">
        <v>6</v>
      </c>
      <c r="F343" t="s">
        <v>316</v>
      </c>
    </row>
    <row r="344" spans="1:6" x14ac:dyDescent="0.2">
      <c r="A344">
        <v>10006</v>
      </c>
      <c r="B344">
        <v>54480</v>
      </c>
      <c r="C344">
        <v>-69</v>
      </c>
      <c r="D344">
        <v>0.11</v>
      </c>
      <c r="E344" t="s">
        <v>8</v>
      </c>
      <c r="F344" t="s">
        <v>317</v>
      </c>
    </row>
    <row r="345" spans="1:6" x14ac:dyDescent="0.2">
      <c r="A345">
        <v>10005</v>
      </c>
      <c r="B345">
        <v>54480</v>
      </c>
      <c r="C345">
        <v>-88</v>
      </c>
      <c r="D345">
        <v>1.23</v>
      </c>
      <c r="E345" t="s">
        <v>6</v>
      </c>
      <c r="F345" t="s">
        <v>317</v>
      </c>
    </row>
    <row r="346" spans="1:6" x14ac:dyDescent="0.2">
      <c r="A346">
        <v>10004</v>
      </c>
      <c r="B346">
        <v>54480</v>
      </c>
      <c r="C346">
        <v>-93</v>
      </c>
      <c r="D346">
        <v>2.27</v>
      </c>
      <c r="E346" t="s">
        <v>72</v>
      </c>
      <c r="F346" t="s">
        <v>317</v>
      </c>
    </row>
    <row r="347" spans="1:6" x14ac:dyDescent="0.2">
      <c r="A347">
        <v>10004</v>
      </c>
      <c r="B347">
        <v>54480</v>
      </c>
      <c r="C347">
        <v>0</v>
      </c>
      <c r="D347">
        <v>-1</v>
      </c>
      <c r="F347" t="s">
        <v>318</v>
      </c>
    </row>
    <row r="348" spans="1:6" x14ac:dyDescent="0.2">
      <c r="A348">
        <v>10006</v>
      </c>
      <c r="B348">
        <v>54480</v>
      </c>
      <c r="C348">
        <v>-69</v>
      </c>
      <c r="D348">
        <v>0.11</v>
      </c>
      <c r="E348" t="s">
        <v>8</v>
      </c>
      <c r="F348" t="s">
        <v>318</v>
      </c>
    </row>
    <row r="349" spans="1:6" x14ac:dyDescent="0.2">
      <c r="A349">
        <v>10005</v>
      </c>
      <c r="B349">
        <v>54480</v>
      </c>
      <c r="C349">
        <v>-93</v>
      </c>
      <c r="D349">
        <v>1.47</v>
      </c>
      <c r="E349" t="s">
        <v>6</v>
      </c>
      <c r="F349" t="s">
        <v>318</v>
      </c>
    </row>
    <row r="350" spans="1:6" x14ac:dyDescent="0.2">
      <c r="A350">
        <v>10006</v>
      </c>
      <c r="B350">
        <v>54480</v>
      </c>
      <c r="C350">
        <v>-72</v>
      </c>
      <c r="D350">
        <v>0.15</v>
      </c>
      <c r="E350" t="s">
        <v>8</v>
      </c>
      <c r="F350" t="s">
        <v>319</v>
      </c>
    </row>
    <row r="351" spans="1:6" x14ac:dyDescent="0.2">
      <c r="A351">
        <v>10005</v>
      </c>
      <c r="B351">
        <v>54480</v>
      </c>
      <c r="C351">
        <v>-89</v>
      </c>
      <c r="D351">
        <v>1.47</v>
      </c>
      <c r="E351" t="s">
        <v>6</v>
      </c>
      <c r="F351" t="s">
        <v>319</v>
      </c>
    </row>
    <row r="352" spans="1:6" x14ac:dyDescent="0.2">
      <c r="A352">
        <v>10004</v>
      </c>
      <c r="B352">
        <v>54480</v>
      </c>
      <c r="C352">
        <v>-90</v>
      </c>
      <c r="D352">
        <v>1.93</v>
      </c>
      <c r="E352" t="s">
        <v>6</v>
      </c>
      <c r="F352" t="s">
        <v>319</v>
      </c>
    </row>
  </sheetData>
  <autoFilter ref="A1:F352" xr:uid="{00000000-0009-0000-0000-000003000000}"/>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C246"/>
  <sheetViews>
    <sheetView tabSelected="1" topLeftCell="A105" zoomScale="101" workbookViewId="0">
      <selection activeCell="W122" sqref="W122"/>
    </sheetView>
  </sheetViews>
  <sheetFormatPr baseColWidth="10" defaultRowHeight="16" x14ac:dyDescent="0.2"/>
  <cols>
    <col min="1" max="1" width="14.33203125" bestFit="1" customWidth="1"/>
    <col min="18" max="18" width="12.1640625" customWidth="1"/>
    <col min="19" max="19" width="12.33203125" bestFit="1" customWidth="1"/>
    <col min="26" max="26" width="1.6640625" customWidth="1"/>
  </cols>
  <sheetData>
    <row r="1" spans="1:21" x14ac:dyDescent="0.2">
      <c r="A1" s="40" t="s">
        <v>338</v>
      </c>
      <c r="B1" s="41"/>
    </row>
    <row r="2" spans="1:21" ht="17" thickBot="1" x14ac:dyDescent="0.25">
      <c r="A2" s="42"/>
      <c r="B2" s="43"/>
    </row>
    <row r="3" spans="1:21" ht="16" customHeight="1" x14ac:dyDescent="0.2">
      <c r="Q3" s="59" t="s">
        <v>191</v>
      </c>
      <c r="R3" s="60"/>
      <c r="S3" s="60"/>
      <c r="T3" s="60"/>
      <c r="U3" s="61"/>
    </row>
    <row r="4" spans="1:21" ht="16" customHeight="1" x14ac:dyDescent="0.2">
      <c r="Q4" s="62"/>
      <c r="R4" s="58"/>
      <c r="S4" s="58"/>
      <c r="T4" s="58"/>
      <c r="U4" s="63"/>
    </row>
    <row r="5" spans="1:21" ht="16" customHeight="1" x14ac:dyDescent="0.2">
      <c r="Q5" s="55" t="s">
        <v>345</v>
      </c>
      <c r="R5" s="56"/>
      <c r="S5" s="56"/>
      <c r="T5" s="56"/>
      <c r="U5" s="57"/>
    </row>
    <row r="6" spans="1:21" x14ac:dyDescent="0.2">
      <c r="Q6" s="55"/>
      <c r="R6" s="56"/>
      <c r="S6" s="56"/>
      <c r="T6" s="56"/>
      <c r="U6" s="57"/>
    </row>
    <row r="7" spans="1:21" x14ac:dyDescent="0.2">
      <c r="Q7" s="55"/>
      <c r="R7" s="56"/>
      <c r="S7" s="56"/>
      <c r="T7" s="56"/>
      <c r="U7" s="57"/>
    </row>
    <row r="8" spans="1:21" x14ac:dyDescent="0.2">
      <c r="Q8" s="55"/>
      <c r="R8" s="56"/>
      <c r="S8" s="56"/>
      <c r="T8" s="56"/>
      <c r="U8" s="57"/>
    </row>
    <row r="9" spans="1:21" x14ac:dyDescent="0.2">
      <c r="Q9" s="55"/>
      <c r="R9" s="56"/>
      <c r="S9" s="56"/>
      <c r="T9" s="56"/>
      <c r="U9" s="57"/>
    </row>
    <row r="10" spans="1:21" x14ac:dyDescent="0.2">
      <c r="Q10" s="55"/>
      <c r="R10" s="56"/>
      <c r="S10" s="56"/>
      <c r="T10" s="56"/>
      <c r="U10" s="57"/>
    </row>
    <row r="11" spans="1:21" x14ac:dyDescent="0.2">
      <c r="Q11" s="55"/>
      <c r="R11" s="56"/>
      <c r="S11" s="56"/>
      <c r="T11" s="56"/>
      <c r="U11" s="57"/>
    </row>
    <row r="12" spans="1:21" x14ac:dyDescent="0.2">
      <c r="Q12" s="55"/>
      <c r="R12" s="56"/>
      <c r="S12" s="56"/>
      <c r="T12" s="56"/>
      <c r="U12" s="57"/>
    </row>
    <row r="13" spans="1:21" x14ac:dyDescent="0.2">
      <c r="Q13" s="55"/>
      <c r="R13" s="56"/>
      <c r="S13" s="56"/>
      <c r="T13" s="56"/>
      <c r="U13" s="57"/>
    </row>
    <row r="14" spans="1:21" x14ac:dyDescent="0.2">
      <c r="Q14" s="55"/>
      <c r="R14" s="56"/>
      <c r="S14" s="56"/>
      <c r="T14" s="56"/>
      <c r="U14" s="57"/>
    </row>
    <row r="15" spans="1:21" x14ac:dyDescent="0.2">
      <c r="Q15" s="55"/>
      <c r="R15" s="56"/>
      <c r="S15" s="56"/>
      <c r="T15" s="56"/>
      <c r="U15" s="57"/>
    </row>
    <row r="16" spans="1:21" x14ac:dyDescent="0.2">
      <c r="Q16" s="55"/>
      <c r="R16" s="56"/>
      <c r="S16" s="56"/>
      <c r="T16" s="56"/>
      <c r="U16" s="57"/>
    </row>
    <row r="17" spans="17:21" x14ac:dyDescent="0.2">
      <c r="Q17" s="55"/>
      <c r="R17" s="56"/>
      <c r="S17" s="56"/>
      <c r="T17" s="56"/>
      <c r="U17" s="57"/>
    </row>
    <row r="18" spans="17:21" x14ac:dyDescent="0.2">
      <c r="Q18" s="55"/>
      <c r="R18" s="56"/>
      <c r="S18" s="56"/>
      <c r="T18" s="56"/>
      <c r="U18" s="57"/>
    </row>
    <row r="19" spans="17:21" ht="17" thickBot="1" x14ac:dyDescent="0.25">
      <c r="Q19" s="64"/>
      <c r="R19" s="65"/>
      <c r="S19" s="65"/>
      <c r="T19" s="65"/>
      <c r="U19" s="66"/>
    </row>
    <row r="20" spans="17:21" x14ac:dyDescent="0.2">
      <c r="Q20" s="49" t="s">
        <v>341</v>
      </c>
      <c r="R20" s="50"/>
      <c r="S20" s="44">
        <f>S127</f>
        <v>-49</v>
      </c>
      <c r="T20" s="1"/>
      <c r="U20" s="1"/>
    </row>
    <row r="21" spans="17:21" x14ac:dyDescent="0.2">
      <c r="Q21" s="51" t="s">
        <v>342</v>
      </c>
      <c r="R21" s="52"/>
      <c r="S21" s="45">
        <f>S131</f>
        <v>-87.733333333333334</v>
      </c>
      <c r="T21" s="1"/>
      <c r="U21" s="1"/>
    </row>
    <row r="22" spans="17:21" x14ac:dyDescent="0.2">
      <c r="Q22" s="51" t="s">
        <v>343</v>
      </c>
      <c r="R22" s="52"/>
      <c r="S22" s="45">
        <f>S135</f>
        <v>-94.764705882352942</v>
      </c>
      <c r="T22" s="1"/>
      <c r="U22" s="1"/>
    </row>
    <row r="23" spans="17:21" ht="17" thickBot="1" x14ac:dyDescent="0.25">
      <c r="Q23" s="53" t="s">
        <v>344</v>
      </c>
      <c r="R23" s="54"/>
      <c r="S23" s="46">
        <f>AVERAGE('10004 Exhibit'!$O$3:$O$62)</f>
        <v>41.05263157894737</v>
      </c>
      <c r="T23" s="1"/>
      <c r="U23" s="1"/>
    </row>
    <row r="24" spans="17:21" x14ac:dyDescent="0.2">
      <c r="Q24" s="1"/>
      <c r="R24" s="1"/>
      <c r="S24" s="1"/>
      <c r="T24" s="1"/>
      <c r="U24" s="1"/>
    </row>
    <row r="25" spans="17:21" ht="16" customHeight="1" x14ac:dyDescent="0.2">
      <c r="T25" s="1"/>
      <c r="U25" s="1"/>
    </row>
    <row r="26" spans="17:21" ht="16" customHeight="1" x14ac:dyDescent="0.2">
      <c r="T26" s="1"/>
      <c r="U26" s="1"/>
    </row>
    <row r="27" spans="17:21" ht="16" customHeight="1" x14ac:dyDescent="0.2">
      <c r="T27" s="1"/>
      <c r="U27" s="1"/>
    </row>
    <row r="28" spans="17:21" x14ac:dyDescent="0.2">
      <c r="T28" s="1"/>
      <c r="U28" s="1"/>
    </row>
    <row r="29" spans="17:21" ht="16" customHeight="1" x14ac:dyDescent="0.2">
      <c r="Q29" s="48"/>
      <c r="R29" s="48"/>
      <c r="S29" s="47"/>
      <c r="T29" s="1"/>
      <c r="U29" s="1"/>
    </row>
    <row r="30" spans="17:21" ht="16" customHeight="1" x14ac:dyDescent="0.2">
      <c r="Q30" s="48"/>
      <c r="R30" s="48"/>
      <c r="S30" s="47"/>
      <c r="T30" s="1"/>
      <c r="U30" s="1"/>
    </row>
    <row r="31" spans="17:21" ht="16" customHeight="1" x14ac:dyDescent="0.2">
      <c r="Q31" s="48"/>
      <c r="R31" s="48"/>
      <c r="S31" s="47"/>
      <c r="T31" s="1"/>
      <c r="U31" s="1"/>
    </row>
    <row r="32" spans="17:21" x14ac:dyDescent="0.2">
      <c r="Q32" s="7"/>
      <c r="R32" s="7"/>
      <c r="S32" s="47"/>
      <c r="T32" s="1"/>
      <c r="U32" s="1"/>
    </row>
    <row r="33" spans="1:21" ht="16" customHeight="1" x14ac:dyDescent="0.2">
      <c r="Q33" s="48"/>
      <c r="R33" s="48"/>
      <c r="S33" s="47"/>
      <c r="T33" s="1"/>
      <c r="U33" s="1"/>
    </row>
    <row r="34" spans="1:21" ht="17" customHeight="1" thickBot="1" x14ac:dyDescent="0.25">
      <c r="Q34" s="48"/>
      <c r="R34" s="48"/>
      <c r="S34" s="47"/>
      <c r="T34" s="1"/>
      <c r="U34" s="1"/>
    </row>
    <row r="35" spans="1:21" ht="17" customHeight="1" x14ac:dyDescent="0.2">
      <c r="A35" s="40" t="s">
        <v>339</v>
      </c>
      <c r="B35" s="41"/>
      <c r="Q35" s="48"/>
      <c r="R35" s="48"/>
      <c r="S35" s="47"/>
      <c r="T35" s="1"/>
      <c r="U35" s="1"/>
    </row>
    <row r="36" spans="1:21" ht="17" thickBot="1" x14ac:dyDescent="0.25">
      <c r="A36" s="42"/>
      <c r="B36" s="43"/>
    </row>
    <row r="37" spans="1:21" ht="16" customHeight="1" x14ac:dyDescent="0.2">
      <c r="Q37" s="59" t="s">
        <v>191</v>
      </c>
      <c r="R37" s="60"/>
      <c r="S37" s="60"/>
      <c r="T37" s="60"/>
      <c r="U37" s="61"/>
    </row>
    <row r="38" spans="1:21" ht="16" customHeight="1" x14ac:dyDescent="0.2">
      <c r="Q38" s="62"/>
      <c r="R38" s="58"/>
      <c r="S38" s="58"/>
      <c r="T38" s="58"/>
      <c r="U38" s="63"/>
    </row>
    <row r="39" spans="1:21" ht="16" customHeight="1" x14ac:dyDescent="0.2">
      <c r="Q39" s="55" t="s">
        <v>346</v>
      </c>
      <c r="R39" s="56"/>
      <c r="S39" s="56"/>
      <c r="T39" s="56"/>
      <c r="U39" s="57"/>
    </row>
    <row r="40" spans="1:21" x14ac:dyDescent="0.2">
      <c r="Q40" s="55"/>
      <c r="R40" s="56"/>
      <c r="S40" s="56"/>
      <c r="T40" s="56"/>
      <c r="U40" s="57"/>
    </row>
    <row r="41" spans="1:21" x14ac:dyDescent="0.2">
      <c r="Q41" s="55"/>
      <c r="R41" s="56"/>
      <c r="S41" s="56"/>
      <c r="T41" s="56"/>
      <c r="U41" s="57"/>
    </row>
    <row r="42" spans="1:21" x14ac:dyDescent="0.2">
      <c r="Q42" s="55"/>
      <c r="R42" s="56"/>
      <c r="S42" s="56"/>
      <c r="T42" s="56"/>
      <c r="U42" s="57"/>
    </row>
    <row r="43" spans="1:21" x14ac:dyDescent="0.2">
      <c r="Q43" s="55"/>
      <c r="R43" s="56"/>
      <c r="S43" s="56"/>
      <c r="T43" s="56"/>
      <c r="U43" s="57"/>
    </row>
    <row r="44" spans="1:21" x14ac:dyDescent="0.2">
      <c r="Q44" s="55"/>
      <c r="R44" s="56"/>
      <c r="S44" s="56"/>
      <c r="T44" s="56"/>
      <c r="U44" s="57"/>
    </row>
    <row r="45" spans="1:21" x14ac:dyDescent="0.2">
      <c r="Q45" s="55"/>
      <c r="R45" s="56"/>
      <c r="S45" s="56"/>
      <c r="T45" s="56"/>
      <c r="U45" s="57"/>
    </row>
    <row r="46" spans="1:21" x14ac:dyDescent="0.2">
      <c r="Q46" s="55"/>
      <c r="R46" s="56"/>
      <c r="S46" s="56"/>
      <c r="T46" s="56"/>
      <c r="U46" s="57"/>
    </row>
    <row r="47" spans="1:21" x14ac:dyDescent="0.2">
      <c r="Q47" s="55"/>
      <c r="R47" s="56"/>
      <c r="S47" s="56"/>
      <c r="T47" s="56"/>
      <c r="U47" s="57"/>
    </row>
    <row r="48" spans="1:21" x14ac:dyDescent="0.2">
      <c r="Q48" s="55"/>
      <c r="R48" s="56"/>
      <c r="S48" s="56"/>
      <c r="T48" s="56"/>
      <c r="U48" s="57"/>
    </row>
    <row r="49" spans="17:21" x14ac:dyDescent="0.2">
      <c r="Q49" s="55"/>
      <c r="R49" s="56"/>
      <c r="S49" s="56"/>
      <c r="T49" s="56"/>
      <c r="U49" s="57"/>
    </row>
    <row r="50" spans="17:21" x14ac:dyDescent="0.2">
      <c r="Q50" s="55"/>
      <c r="R50" s="56"/>
      <c r="S50" s="56"/>
      <c r="T50" s="56"/>
      <c r="U50" s="57"/>
    </row>
    <row r="51" spans="17:21" x14ac:dyDescent="0.2">
      <c r="Q51" s="55"/>
      <c r="R51" s="56"/>
      <c r="S51" s="56"/>
      <c r="T51" s="56"/>
      <c r="U51" s="57"/>
    </row>
    <row r="52" spans="17:21" x14ac:dyDescent="0.2">
      <c r="Q52" s="55"/>
      <c r="R52" s="56"/>
      <c r="S52" s="56"/>
      <c r="T52" s="56"/>
      <c r="U52" s="57"/>
    </row>
    <row r="53" spans="17:21" ht="17" thickBot="1" x14ac:dyDescent="0.25">
      <c r="Q53" s="55"/>
      <c r="R53" s="56"/>
      <c r="S53" s="56"/>
      <c r="T53" s="65"/>
      <c r="U53" s="66"/>
    </row>
    <row r="54" spans="17:21" x14ac:dyDescent="0.2">
      <c r="Q54" s="49" t="s">
        <v>341</v>
      </c>
      <c r="R54" s="50"/>
      <c r="S54" s="44">
        <f>S128</f>
        <v>-91.20930232558139</v>
      </c>
      <c r="T54" s="1"/>
      <c r="U54" s="1"/>
    </row>
    <row r="55" spans="17:21" x14ac:dyDescent="0.2">
      <c r="Q55" s="51" t="s">
        <v>342</v>
      </c>
      <c r="R55" s="52"/>
      <c r="S55" s="45">
        <f>S132</f>
        <v>-38.377358490566039</v>
      </c>
      <c r="T55" s="1"/>
      <c r="U55" s="1"/>
    </row>
    <row r="56" spans="17:21" x14ac:dyDescent="0.2">
      <c r="Q56" s="51" t="s">
        <v>343</v>
      </c>
      <c r="R56" s="52"/>
      <c r="S56" s="45">
        <f>S136</f>
        <v>-87.755102040816325</v>
      </c>
      <c r="T56" s="1"/>
      <c r="U56" s="1"/>
    </row>
    <row r="57" spans="17:21" ht="17" thickBot="1" x14ac:dyDescent="0.25">
      <c r="Q57" s="53" t="s">
        <v>344</v>
      </c>
      <c r="R57" s="54"/>
      <c r="S57" s="46">
        <f>AVERAGE('10005 Exhibit'!$N$3:$N$62)</f>
        <v>48.679245283018865</v>
      </c>
      <c r="T57" s="1"/>
      <c r="U57" s="1"/>
    </row>
    <row r="58" spans="17:21" x14ac:dyDescent="0.2">
      <c r="Q58" s="1"/>
      <c r="R58" s="1"/>
      <c r="S58" s="1"/>
      <c r="T58" s="1"/>
      <c r="U58" s="1"/>
    </row>
    <row r="59" spans="17:21" x14ac:dyDescent="0.2">
      <c r="T59" s="1"/>
      <c r="U59" s="1"/>
    </row>
    <row r="60" spans="17:21" x14ac:dyDescent="0.2">
      <c r="T60" s="1"/>
      <c r="U60" s="1"/>
    </row>
    <row r="61" spans="17:21" x14ac:dyDescent="0.2">
      <c r="T61" s="1"/>
      <c r="U61" s="1"/>
    </row>
    <row r="62" spans="17:21" x14ac:dyDescent="0.2">
      <c r="T62" s="1"/>
      <c r="U62" s="1"/>
    </row>
    <row r="68" spans="1:21" ht="17" thickBot="1" x14ac:dyDescent="0.25"/>
    <row r="69" spans="1:21" x14ac:dyDescent="0.2">
      <c r="A69" s="40" t="s">
        <v>340</v>
      </c>
      <c r="B69" s="41"/>
    </row>
    <row r="70" spans="1:21" ht="17" thickBot="1" x14ac:dyDescent="0.25">
      <c r="A70" s="42"/>
      <c r="B70" s="43"/>
    </row>
    <row r="71" spans="1:21" ht="16" customHeight="1" x14ac:dyDescent="0.2">
      <c r="Q71" s="59" t="s">
        <v>191</v>
      </c>
      <c r="R71" s="60"/>
      <c r="S71" s="60"/>
      <c r="T71" s="60"/>
      <c r="U71" s="61"/>
    </row>
    <row r="72" spans="1:21" ht="16" customHeight="1" x14ac:dyDescent="0.2">
      <c r="Q72" s="62"/>
      <c r="R72" s="58"/>
      <c r="S72" s="58"/>
      <c r="T72" s="58"/>
      <c r="U72" s="63"/>
    </row>
    <row r="73" spans="1:21" ht="16" customHeight="1" x14ac:dyDescent="0.2">
      <c r="Q73" s="55" t="s">
        <v>347</v>
      </c>
      <c r="R73" s="56"/>
      <c r="S73" s="56"/>
      <c r="T73" s="56"/>
      <c r="U73" s="57"/>
    </row>
    <row r="74" spans="1:21" x14ac:dyDescent="0.2">
      <c r="Q74" s="55"/>
      <c r="R74" s="56"/>
      <c r="S74" s="56"/>
      <c r="T74" s="56"/>
      <c r="U74" s="57"/>
    </row>
    <row r="75" spans="1:21" x14ac:dyDescent="0.2">
      <c r="Q75" s="55"/>
      <c r="R75" s="56"/>
      <c r="S75" s="56"/>
      <c r="T75" s="56"/>
      <c r="U75" s="57"/>
    </row>
    <row r="76" spans="1:21" x14ac:dyDescent="0.2">
      <c r="Q76" s="55"/>
      <c r="R76" s="56"/>
      <c r="S76" s="56"/>
      <c r="T76" s="56"/>
      <c r="U76" s="57"/>
    </row>
    <row r="77" spans="1:21" x14ac:dyDescent="0.2">
      <c r="Q77" s="55"/>
      <c r="R77" s="56"/>
      <c r="S77" s="56"/>
      <c r="T77" s="56"/>
      <c r="U77" s="57"/>
    </row>
    <row r="78" spans="1:21" x14ac:dyDescent="0.2">
      <c r="Q78" s="55"/>
      <c r="R78" s="56"/>
      <c r="S78" s="56"/>
      <c r="T78" s="56"/>
      <c r="U78" s="57"/>
    </row>
    <row r="79" spans="1:21" x14ac:dyDescent="0.2">
      <c r="Q79" s="55"/>
      <c r="R79" s="56"/>
      <c r="S79" s="56"/>
      <c r="T79" s="56"/>
      <c r="U79" s="57"/>
    </row>
    <row r="80" spans="1:21" x14ac:dyDescent="0.2">
      <c r="Q80" s="55"/>
      <c r="R80" s="56"/>
      <c r="S80" s="56"/>
      <c r="T80" s="56"/>
      <c r="U80" s="57"/>
    </row>
    <row r="81" spans="17:21" x14ac:dyDescent="0.2">
      <c r="Q81" s="55"/>
      <c r="R81" s="56"/>
      <c r="S81" s="56"/>
      <c r="T81" s="56"/>
      <c r="U81" s="57"/>
    </row>
    <row r="82" spans="17:21" x14ac:dyDescent="0.2">
      <c r="Q82" s="55"/>
      <c r="R82" s="56"/>
      <c r="S82" s="56"/>
      <c r="T82" s="56"/>
      <c r="U82" s="57"/>
    </row>
    <row r="83" spans="17:21" x14ac:dyDescent="0.2">
      <c r="Q83" s="55"/>
      <c r="R83" s="56"/>
      <c r="S83" s="56"/>
      <c r="T83" s="56"/>
      <c r="U83" s="57"/>
    </row>
    <row r="84" spans="17:21" x14ac:dyDescent="0.2">
      <c r="Q84" s="55"/>
      <c r="R84" s="56"/>
      <c r="S84" s="56"/>
      <c r="T84" s="56"/>
      <c r="U84" s="57"/>
    </row>
    <row r="85" spans="17:21" x14ac:dyDescent="0.2">
      <c r="Q85" s="55"/>
      <c r="R85" s="56"/>
      <c r="S85" s="56"/>
      <c r="T85" s="56"/>
      <c r="U85" s="57"/>
    </row>
    <row r="86" spans="17:21" x14ac:dyDescent="0.2">
      <c r="Q86" s="55"/>
      <c r="R86" s="56"/>
      <c r="S86" s="56"/>
      <c r="T86" s="56"/>
      <c r="U86" s="57"/>
    </row>
    <row r="87" spans="17:21" ht="17" thickBot="1" x14ac:dyDescent="0.25">
      <c r="Q87" s="55"/>
      <c r="R87" s="56"/>
      <c r="S87" s="56"/>
      <c r="T87" s="65"/>
      <c r="U87" s="66"/>
    </row>
    <row r="88" spans="17:21" x14ac:dyDescent="0.2">
      <c r="Q88" s="49" t="s">
        <v>341</v>
      </c>
      <c r="R88" s="50"/>
      <c r="S88" s="44">
        <f>S129</f>
        <v>-92.256410256410263</v>
      </c>
      <c r="T88" s="1"/>
      <c r="U88" s="1"/>
    </row>
    <row r="89" spans="17:21" x14ac:dyDescent="0.2">
      <c r="Q89" s="51" t="s">
        <v>342</v>
      </c>
      <c r="R89" s="52"/>
      <c r="S89" s="45">
        <f>S133</f>
        <v>-81.767857142857139</v>
      </c>
      <c r="T89" s="1"/>
      <c r="U89" s="1"/>
    </row>
    <row r="90" spans="17:21" x14ac:dyDescent="0.2">
      <c r="Q90" s="51" t="s">
        <v>343</v>
      </c>
      <c r="R90" s="52"/>
      <c r="S90" s="45">
        <f>S137</f>
        <v>-45.403508771929822</v>
      </c>
      <c r="T90" s="1"/>
      <c r="U90" s="1"/>
    </row>
    <row r="91" spans="17:21" ht="17" thickBot="1" x14ac:dyDescent="0.25">
      <c r="Q91" s="53" t="s">
        <v>344</v>
      </c>
      <c r="R91" s="54"/>
      <c r="S91" s="46">
        <f>AVERAGE('10006 Exhibit'!$N$3:$N$62)</f>
        <v>36.377358490566039</v>
      </c>
      <c r="T91" s="1"/>
      <c r="U91" s="1"/>
    </row>
    <row r="92" spans="17:21" x14ac:dyDescent="0.2">
      <c r="Q92" s="1"/>
      <c r="R92" s="1"/>
      <c r="S92" s="1"/>
      <c r="T92" s="1"/>
      <c r="U92" s="1"/>
    </row>
    <row r="93" spans="17:21" x14ac:dyDescent="0.2">
      <c r="T93" s="1"/>
      <c r="U93" s="1"/>
    </row>
    <row r="94" spans="17:21" x14ac:dyDescent="0.2">
      <c r="T94" s="1"/>
      <c r="U94" s="1"/>
    </row>
    <row r="95" spans="17:21" x14ac:dyDescent="0.2">
      <c r="T95" s="1"/>
      <c r="U95" s="1"/>
    </row>
    <row r="96" spans="17:21" x14ac:dyDescent="0.2">
      <c r="T96" s="1"/>
      <c r="U96" s="1"/>
    </row>
    <row r="102" spans="1:21" ht="17" thickBot="1" x14ac:dyDescent="0.25"/>
    <row r="103" spans="1:21" x14ac:dyDescent="0.2">
      <c r="A103" s="40" t="s">
        <v>335</v>
      </c>
      <c r="B103" s="41"/>
    </row>
    <row r="104" spans="1:21" ht="17" thickBot="1" x14ac:dyDescent="0.25">
      <c r="A104" s="42"/>
      <c r="B104" s="43"/>
    </row>
    <row r="105" spans="1:21" x14ac:dyDescent="0.2">
      <c r="Q105" s="17" t="s">
        <v>191</v>
      </c>
      <c r="R105" s="18"/>
      <c r="S105" s="18"/>
      <c r="T105" s="18"/>
      <c r="U105" s="19"/>
    </row>
    <row r="106" spans="1:21" ht="16" customHeight="1" x14ac:dyDescent="0.2">
      <c r="Q106" s="20"/>
      <c r="R106" s="21"/>
      <c r="S106" s="21"/>
      <c r="T106" s="21"/>
      <c r="U106" s="22"/>
    </row>
    <row r="107" spans="1:21" ht="16" customHeight="1" x14ac:dyDescent="0.2">
      <c r="Q107" s="23" t="s">
        <v>349</v>
      </c>
      <c r="R107" s="24"/>
      <c r="S107" s="24"/>
      <c r="T107" s="24"/>
      <c r="U107" s="25"/>
    </row>
    <row r="108" spans="1:21" x14ac:dyDescent="0.2">
      <c r="Q108" s="23"/>
      <c r="R108" s="24"/>
      <c r="S108" s="24"/>
      <c r="T108" s="24"/>
      <c r="U108" s="25"/>
    </row>
    <row r="109" spans="1:21" x14ac:dyDescent="0.2">
      <c r="Q109" s="23"/>
      <c r="R109" s="24"/>
      <c r="S109" s="24"/>
      <c r="T109" s="24"/>
      <c r="U109" s="25"/>
    </row>
    <row r="110" spans="1:21" x14ac:dyDescent="0.2">
      <c r="Q110" s="23"/>
      <c r="R110" s="24"/>
      <c r="S110" s="24"/>
      <c r="T110" s="24"/>
      <c r="U110" s="25"/>
    </row>
    <row r="111" spans="1:21" x14ac:dyDescent="0.2">
      <c r="Q111" s="23"/>
      <c r="R111" s="24"/>
      <c r="S111" s="24"/>
      <c r="T111" s="24"/>
      <c r="U111" s="25"/>
    </row>
    <row r="112" spans="1:21" x14ac:dyDescent="0.2">
      <c r="Q112" s="23"/>
      <c r="R112" s="24"/>
      <c r="S112" s="24"/>
      <c r="T112" s="24"/>
      <c r="U112" s="25"/>
    </row>
    <row r="113" spans="17:21" x14ac:dyDescent="0.2">
      <c r="Q113" s="23"/>
      <c r="R113" s="24"/>
      <c r="S113" s="24"/>
      <c r="T113" s="24"/>
      <c r="U113" s="25"/>
    </row>
    <row r="114" spans="17:21" x14ac:dyDescent="0.2">
      <c r="Q114" s="23"/>
      <c r="R114" s="24"/>
      <c r="S114" s="24"/>
      <c r="T114" s="24"/>
      <c r="U114" s="25"/>
    </row>
    <row r="115" spans="17:21" x14ac:dyDescent="0.2">
      <c r="Q115" s="23"/>
      <c r="R115" s="24"/>
      <c r="S115" s="24"/>
      <c r="T115" s="24"/>
      <c r="U115" s="25"/>
    </row>
    <row r="116" spans="17:21" x14ac:dyDescent="0.2">
      <c r="Q116" s="23"/>
      <c r="R116" s="24"/>
      <c r="S116" s="24"/>
      <c r="T116" s="24"/>
      <c r="U116" s="25"/>
    </row>
    <row r="117" spans="17:21" x14ac:dyDescent="0.2">
      <c r="Q117" s="23"/>
      <c r="R117" s="24"/>
      <c r="S117" s="24"/>
      <c r="T117" s="24"/>
      <c r="U117" s="25"/>
    </row>
    <row r="118" spans="17:21" x14ac:dyDescent="0.2">
      <c r="Q118" s="23"/>
      <c r="R118" s="24"/>
      <c r="S118" s="24"/>
      <c r="T118" s="24"/>
      <c r="U118" s="25"/>
    </row>
    <row r="119" spans="17:21" x14ac:dyDescent="0.2">
      <c r="Q119" s="23"/>
      <c r="R119" s="24"/>
      <c r="S119" s="24"/>
      <c r="T119" s="24"/>
      <c r="U119" s="25"/>
    </row>
    <row r="120" spans="17:21" x14ac:dyDescent="0.2">
      <c r="Q120" s="23"/>
      <c r="R120" s="24"/>
      <c r="S120" s="24"/>
      <c r="T120" s="24"/>
      <c r="U120" s="25"/>
    </row>
    <row r="121" spans="17:21" x14ac:dyDescent="0.2">
      <c r="Q121" s="23"/>
      <c r="R121" s="24"/>
      <c r="S121" s="24"/>
      <c r="T121" s="24"/>
      <c r="U121" s="25"/>
    </row>
    <row r="122" spans="17:21" x14ac:dyDescent="0.2">
      <c r="Q122" s="23"/>
      <c r="R122" s="24"/>
      <c r="S122" s="24"/>
      <c r="T122" s="24"/>
      <c r="U122" s="25"/>
    </row>
    <row r="123" spans="17:21" x14ac:dyDescent="0.2">
      <c r="Q123" s="23"/>
      <c r="R123" s="24"/>
      <c r="S123" s="24"/>
      <c r="T123" s="24"/>
      <c r="U123" s="25"/>
    </row>
    <row r="124" spans="17:21" x14ac:dyDescent="0.2">
      <c r="Q124" s="23"/>
      <c r="R124" s="24"/>
      <c r="S124" s="24"/>
      <c r="T124" s="24"/>
      <c r="U124" s="25"/>
    </row>
    <row r="125" spans="17:21" x14ac:dyDescent="0.2">
      <c r="Q125" s="23"/>
      <c r="R125" s="24"/>
      <c r="S125" s="24"/>
      <c r="T125" s="24"/>
      <c r="U125" s="25"/>
    </row>
    <row r="126" spans="17:21" ht="17" thickBot="1" x14ac:dyDescent="0.25">
      <c r="Q126" s="26"/>
      <c r="R126" s="27"/>
      <c r="S126" s="27"/>
      <c r="T126" s="27"/>
      <c r="U126" s="28"/>
    </row>
    <row r="127" spans="17:21" x14ac:dyDescent="0.2">
      <c r="Q127" s="36" t="s">
        <v>192</v>
      </c>
      <c r="R127" s="37"/>
      <c r="S127" s="9">
        <f>AVERAGE('10004 Exhibit'!K3:K62)</f>
        <v>-49</v>
      </c>
      <c r="T127" s="1"/>
      <c r="U127" s="1"/>
    </row>
    <row r="128" spans="17:21" ht="16" customHeight="1" x14ac:dyDescent="0.2">
      <c r="Q128" s="38" t="s">
        <v>193</v>
      </c>
      <c r="R128" s="39"/>
      <c r="S128" s="10">
        <f>AVERAGE('10005 Exhibit'!K3:K61)</f>
        <v>-91.20930232558139</v>
      </c>
      <c r="T128" s="1"/>
      <c r="U128" s="1"/>
    </row>
    <row r="129" spans="1:21" ht="16" customHeight="1" x14ac:dyDescent="0.2">
      <c r="Q129" s="38" t="s">
        <v>194</v>
      </c>
      <c r="R129" s="39"/>
      <c r="S129" s="10">
        <f>AVERAGE('10006 Exhibit'!K3:K62)</f>
        <v>-92.256410256410263</v>
      </c>
      <c r="T129" s="1"/>
      <c r="U129" s="1"/>
    </row>
    <row r="130" spans="1:21" ht="16" customHeight="1" x14ac:dyDescent="0.2">
      <c r="Q130" s="67"/>
      <c r="R130" s="68"/>
      <c r="S130" s="69"/>
      <c r="T130" s="1"/>
      <c r="U130" s="1"/>
    </row>
    <row r="131" spans="1:21" x14ac:dyDescent="0.2">
      <c r="Q131" s="38" t="s">
        <v>195</v>
      </c>
      <c r="R131" s="39"/>
      <c r="S131" s="10">
        <f>AVERAGE('10004 Exhibit'!L3:L62)</f>
        <v>-87.733333333333334</v>
      </c>
      <c r="T131" s="1"/>
      <c r="U131" s="1"/>
    </row>
    <row r="132" spans="1:21" ht="16" customHeight="1" x14ac:dyDescent="0.2">
      <c r="Q132" s="38" t="s">
        <v>196</v>
      </c>
      <c r="R132" s="39"/>
      <c r="S132" s="10">
        <f>AVERAGE('10005 Exhibit'!L3:L62)</f>
        <v>-38.377358490566039</v>
      </c>
      <c r="T132" s="1"/>
      <c r="U132" s="1"/>
    </row>
    <row r="133" spans="1:21" ht="16" customHeight="1" x14ac:dyDescent="0.2">
      <c r="Q133" s="38" t="s">
        <v>197</v>
      </c>
      <c r="R133" s="39"/>
      <c r="S133" s="10">
        <f>AVERAGE('10006 Exhibit'!L3:L62)</f>
        <v>-81.767857142857139</v>
      </c>
      <c r="T133" s="1"/>
      <c r="U133" s="1"/>
    </row>
    <row r="134" spans="1:21" x14ac:dyDescent="0.2">
      <c r="Q134" s="67"/>
      <c r="R134" s="68"/>
      <c r="S134" s="70"/>
      <c r="T134" s="1"/>
      <c r="U134" s="1"/>
    </row>
    <row r="135" spans="1:21" x14ac:dyDescent="0.2">
      <c r="Q135" s="38" t="s">
        <v>198</v>
      </c>
      <c r="R135" s="39"/>
      <c r="S135" s="10">
        <f>AVERAGE('10004 Exhibit'!M3:M62)</f>
        <v>-94.764705882352942</v>
      </c>
      <c r="T135" s="1"/>
      <c r="U135" s="1"/>
    </row>
    <row r="136" spans="1:21" ht="16" customHeight="1" x14ac:dyDescent="0.2">
      <c r="Q136" s="38" t="s">
        <v>199</v>
      </c>
      <c r="R136" s="39"/>
      <c r="S136" s="10">
        <f>AVERAGE('10005 Exhibit'!M3:M62)</f>
        <v>-87.755102040816325</v>
      </c>
      <c r="T136" s="1"/>
      <c r="U136" s="1"/>
    </row>
    <row r="137" spans="1:21" ht="17" customHeight="1" thickBot="1" x14ac:dyDescent="0.25">
      <c r="Q137" s="33" t="s">
        <v>200</v>
      </c>
      <c r="R137" s="34"/>
      <c r="S137" s="11">
        <f>AVERAGE('10006 Exhibit'!M3:M62)</f>
        <v>-45.403508771929822</v>
      </c>
      <c r="T137" s="1"/>
      <c r="U137" s="1"/>
    </row>
    <row r="138" spans="1:21" x14ac:dyDescent="0.2">
      <c r="Q138" s="1"/>
      <c r="R138" s="1"/>
      <c r="S138" s="1"/>
      <c r="T138" s="1"/>
      <c r="U138" s="1"/>
    </row>
    <row r="140" spans="1:21" x14ac:dyDescent="0.2">
      <c r="A140" s="35" t="s">
        <v>336</v>
      </c>
      <c r="B140" s="35"/>
    </row>
    <row r="141" spans="1:21" x14ac:dyDescent="0.2">
      <c r="A141" s="35"/>
      <c r="B141" s="35"/>
    </row>
    <row r="142" spans="1:21" ht="16" customHeight="1" x14ac:dyDescent="0.2">
      <c r="Q142" s="3" t="s">
        <v>191</v>
      </c>
      <c r="R142" s="3"/>
      <c r="S142" s="3"/>
      <c r="T142" s="3"/>
      <c r="U142" s="3"/>
    </row>
    <row r="143" spans="1:21" ht="16" customHeight="1" x14ac:dyDescent="0.2">
      <c r="Q143" s="3"/>
      <c r="R143" s="3"/>
      <c r="S143" s="3"/>
      <c r="T143" s="3"/>
      <c r="U143" s="3"/>
    </row>
    <row r="144" spans="1:21" x14ac:dyDescent="0.2">
      <c r="Q144" s="4"/>
      <c r="R144" s="4"/>
      <c r="S144" s="4"/>
      <c r="T144" s="4"/>
      <c r="U144" s="4"/>
    </row>
    <row r="145" spans="17:21" x14ac:dyDescent="0.2">
      <c r="Q145" s="4"/>
      <c r="R145" s="4"/>
      <c r="S145" s="4"/>
      <c r="T145" s="4"/>
      <c r="U145" s="4"/>
    </row>
    <row r="146" spans="17:21" x14ac:dyDescent="0.2">
      <c r="Q146" s="4"/>
      <c r="R146" s="4"/>
      <c r="S146" s="4"/>
      <c r="T146" s="4"/>
      <c r="U146" s="4"/>
    </row>
    <row r="147" spans="17:21" x14ac:dyDescent="0.2">
      <c r="Q147" s="4"/>
      <c r="R147" s="4"/>
      <c r="S147" s="4"/>
      <c r="T147" s="4"/>
      <c r="U147" s="4"/>
    </row>
    <row r="148" spans="17:21" x14ac:dyDescent="0.2">
      <c r="Q148" s="4"/>
      <c r="R148" s="4"/>
      <c r="S148" s="4"/>
      <c r="T148" s="4"/>
      <c r="U148" s="4"/>
    </row>
    <row r="149" spans="17:21" x14ac:dyDescent="0.2">
      <c r="Q149" s="4"/>
      <c r="R149" s="4"/>
      <c r="S149" s="4"/>
      <c r="T149" s="4"/>
      <c r="U149" s="4"/>
    </row>
    <row r="150" spans="17:21" x14ac:dyDescent="0.2">
      <c r="Q150" s="4"/>
      <c r="R150" s="4"/>
      <c r="S150" s="4"/>
      <c r="T150" s="4"/>
      <c r="U150" s="4"/>
    </row>
    <row r="151" spans="17:21" x14ac:dyDescent="0.2">
      <c r="Q151" s="4"/>
      <c r="R151" s="4"/>
      <c r="S151" s="4"/>
      <c r="T151" s="4"/>
      <c r="U151" s="4"/>
    </row>
    <row r="152" spans="17:21" x14ac:dyDescent="0.2">
      <c r="Q152" s="4"/>
      <c r="R152" s="4"/>
      <c r="S152" s="4"/>
      <c r="T152" s="4"/>
      <c r="U152" s="4"/>
    </row>
    <row r="153" spans="17:21" x14ac:dyDescent="0.2">
      <c r="Q153" s="4"/>
      <c r="R153" s="4"/>
      <c r="S153" s="4"/>
      <c r="T153" s="4"/>
      <c r="U153" s="4"/>
    </row>
    <row r="154" spans="17:21" x14ac:dyDescent="0.2">
      <c r="Q154" s="4"/>
      <c r="R154" s="4"/>
      <c r="S154" s="4"/>
      <c r="T154" s="4"/>
      <c r="U154" s="4"/>
    </row>
    <row r="155" spans="17:21" x14ac:dyDescent="0.2">
      <c r="Q155" s="4"/>
      <c r="R155" s="4"/>
      <c r="S155" s="4"/>
      <c r="T155" s="4"/>
      <c r="U155" s="4"/>
    </row>
    <row r="156" spans="17:21" x14ac:dyDescent="0.2">
      <c r="Q156" s="4"/>
      <c r="R156" s="4"/>
      <c r="S156" s="4"/>
      <c r="T156" s="4"/>
      <c r="U156" s="4"/>
    </row>
    <row r="157" spans="17:21" x14ac:dyDescent="0.2">
      <c r="Q157" s="4"/>
      <c r="R157" s="4"/>
      <c r="S157" s="4"/>
      <c r="T157" s="4"/>
      <c r="U157" s="4"/>
    </row>
    <row r="158" spans="17:21" x14ac:dyDescent="0.2">
      <c r="Q158" s="4"/>
      <c r="R158" s="4"/>
      <c r="S158" s="4"/>
      <c r="T158" s="4"/>
      <c r="U158" s="4"/>
    </row>
    <row r="159" spans="17:21" x14ac:dyDescent="0.2">
      <c r="Q159" s="4"/>
      <c r="R159" s="4"/>
      <c r="S159" s="4"/>
      <c r="T159" s="4"/>
      <c r="U159" s="4"/>
    </row>
    <row r="160" spans="17:21" x14ac:dyDescent="0.2">
      <c r="Q160" s="4"/>
      <c r="R160" s="4"/>
      <c r="S160" s="4"/>
      <c r="T160" s="4"/>
      <c r="U160" s="4"/>
    </row>
    <row r="161" spans="1:21" x14ac:dyDescent="0.2">
      <c r="Q161" s="4"/>
      <c r="R161" s="4"/>
      <c r="S161" s="4"/>
      <c r="T161" s="4"/>
      <c r="U161" s="4"/>
    </row>
    <row r="162" spans="1:21" x14ac:dyDescent="0.2">
      <c r="Q162" s="4"/>
      <c r="R162" s="4"/>
      <c r="S162" s="4"/>
      <c r="T162" s="4"/>
      <c r="U162" s="4"/>
    </row>
    <row r="163" spans="1:21" x14ac:dyDescent="0.2">
      <c r="Q163" s="4"/>
      <c r="R163" s="4"/>
      <c r="S163" s="4"/>
      <c r="T163" s="4"/>
      <c r="U163" s="4"/>
    </row>
    <row r="164" spans="1:21" x14ac:dyDescent="0.2">
      <c r="Q164" s="4"/>
      <c r="R164" s="4"/>
      <c r="S164" s="4"/>
      <c r="T164" s="4"/>
      <c r="U164" s="4"/>
    </row>
    <row r="165" spans="1:21" x14ac:dyDescent="0.2">
      <c r="Q165" s="4"/>
      <c r="R165" s="4"/>
      <c r="S165" s="4"/>
      <c r="T165" s="4"/>
      <c r="U165" s="4"/>
    </row>
    <row r="166" spans="1:21" x14ac:dyDescent="0.2">
      <c r="Q166" s="4"/>
      <c r="R166" s="4"/>
      <c r="S166" s="4"/>
      <c r="T166" s="4"/>
      <c r="U166" s="4"/>
    </row>
    <row r="167" spans="1:21" x14ac:dyDescent="0.2">
      <c r="Q167" s="4"/>
      <c r="R167" s="4"/>
      <c r="S167" s="4"/>
      <c r="T167" s="4"/>
      <c r="U167" s="4"/>
    </row>
    <row r="168" spans="1:21" x14ac:dyDescent="0.2">
      <c r="Q168" s="4"/>
      <c r="R168" s="4"/>
      <c r="S168" s="4"/>
      <c r="T168" s="4"/>
      <c r="U168" s="4"/>
    </row>
    <row r="169" spans="1:21" x14ac:dyDescent="0.2">
      <c r="Q169" s="4"/>
      <c r="R169" s="4"/>
      <c r="S169" s="4"/>
      <c r="T169" s="4"/>
      <c r="U169" s="4"/>
    </row>
    <row r="170" spans="1:21" x14ac:dyDescent="0.2">
      <c r="Q170" s="4"/>
      <c r="R170" s="4"/>
      <c r="S170" s="4"/>
      <c r="T170" s="4"/>
      <c r="U170" s="4"/>
    </row>
    <row r="171" spans="1:21" x14ac:dyDescent="0.2">
      <c r="Q171" s="4"/>
      <c r="R171" s="4"/>
      <c r="S171" s="4"/>
      <c r="T171" s="4"/>
      <c r="U171" s="4"/>
    </row>
    <row r="172" spans="1:21" x14ac:dyDescent="0.2">
      <c r="Q172" s="4"/>
      <c r="R172" s="4"/>
      <c r="S172" s="4"/>
      <c r="T172" s="4"/>
      <c r="U172" s="4"/>
    </row>
    <row r="173" spans="1:21" x14ac:dyDescent="0.2">
      <c r="Q173" s="4"/>
      <c r="R173" s="4"/>
      <c r="S173" s="4"/>
      <c r="T173" s="4"/>
      <c r="U173" s="4"/>
    </row>
    <row r="174" spans="1:21" x14ac:dyDescent="0.2">
      <c r="Q174" s="5"/>
      <c r="R174" s="5"/>
      <c r="S174" s="5"/>
      <c r="T174" s="5"/>
      <c r="U174" s="5"/>
    </row>
    <row r="175" spans="1:21" x14ac:dyDescent="0.2">
      <c r="A175" s="35" t="s">
        <v>337</v>
      </c>
      <c r="B175" s="35"/>
      <c r="Q175" s="5"/>
      <c r="R175" s="5"/>
      <c r="S175" s="5"/>
      <c r="T175" s="5"/>
      <c r="U175" s="5"/>
    </row>
    <row r="176" spans="1:21" x14ac:dyDescent="0.2">
      <c r="A176" s="35"/>
      <c r="B176" s="35"/>
      <c r="Q176" s="5"/>
      <c r="R176" s="5"/>
      <c r="S176" s="5"/>
      <c r="T176" s="5"/>
      <c r="U176" s="5"/>
    </row>
    <row r="177" spans="17:21" ht="16" customHeight="1" x14ac:dyDescent="0.2">
      <c r="Q177" s="3"/>
      <c r="R177" s="3"/>
      <c r="S177" s="3"/>
      <c r="T177" s="3"/>
      <c r="U177" s="3"/>
    </row>
    <row r="178" spans="17:21" ht="16" customHeight="1" x14ac:dyDescent="0.2">
      <c r="Q178" s="3"/>
      <c r="R178" s="3"/>
      <c r="S178" s="3"/>
      <c r="T178" s="3"/>
      <c r="U178" s="3"/>
    </row>
    <row r="179" spans="17:21" x14ac:dyDescent="0.2">
      <c r="Q179" s="4"/>
      <c r="R179" s="4"/>
      <c r="S179" s="4"/>
      <c r="T179" s="4"/>
      <c r="U179" s="4"/>
    </row>
    <row r="180" spans="17:21" x14ac:dyDescent="0.2">
      <c r="Q180" s="4"/>
      <c r="R180" s="4"/>
      <c r="S180" s="4"/>
      <c r="T180" s="4"/>
      <c r="U180" s="4"/>
    </row>
    <row r="181" spans="17:21" x14ac:dyDescent="0.2">
      <c r="Q181" s="4"/>
      <c r="R181" s="4"/>
      <c r="S181" s="4"/>
      <c r="T181" s="4"/>
      <c r="U181" s="4"/>
    </row>
    <row r="182" spans="17:21" x14ac:dyDescent="0.2">
      <c r="Q182" s="4"/>
      <c r="R182" s="4"/>
      <c r="S182" s="4"/>
      <c r="T182" s="4"/>
      <c r="U182" s="4"/>
    </row>
    <row r="183" spans="17:21" x14ac:dyDescent="0.2">
      <c r="Q183" s="4"/>
      <c r="R183" s="4"/>
      <c r="S183" s="4"/>
      <c r="T183" s="4"/>
      <c r="U183" s="4"/>
    </row>
    <row r="184" spans="17:21" x14ac:dyDescent="0.2">
      <c r="Q184" s="4"/>
      <c r="R184" s="4"/>
      <c r="S184" s="4"/>
      <c r="T184" s="4"/>
      <c r="U184" s="4"/>
    </row>
    <row r="185" spans="17:21" x14ac:dyDescent="0.2">
      <c r="Q185" s="4"/>
      <c r="R185" s="4"/>
      <c r="S185" s="4"/>
      <c r="T185" s="4"/>
      <c r="U185" s="4"/>
    </row>
    <row r="186" spans="17:21" x14ac:dyDescent="0.2">
      <c r="Q186" s="4"/>
      <c r="R186" s="4"/>
      <c r="S186" s="4"/>
      <c r="T186" s="4"/>
      <c r="U186" s="4"/>
    </row>
    <row r="187" spans="17:21" x14ac:dyDescent="0.2">
      <c r="Q187" s="4"/>
      <c r="R187" s="4"/>
      <c r="S187" s="4"/>
      <c r="T187" s="4"/>
      <c r="U187" s="4"/>
    </row>
    <row r="188" spans="17:21" x14ac:dyDescent="0.2">
      <c r="Q188" s="4"/>
      <c r="R188" s="4"/>
      <c r="S188" s="4"/>
      <c r="T188" s="4"/>
      <c r="U188" s="4"/>
    </row>
    <row r="189" spans="17:21" x14ac:dyDescent="0.2">
      <c r="Q189" s="4"/>
      <c r="R189" s="4"/>
      <c r="S189" s="4"/>
      <c r="T189" s="4"/>
      <c r="U189" s="4"/>
    </row>
    <row r="190" spans="17:21" x14ac:dyDescent="0.2">
      <c r="Q190" s="4"/>
      <c r="R190" s="4"/>
      <c r="S190" s="4"/>
      <c r="T190" s="4"/>
      <c r="U190" s="4"/>
    </row>
    <row r="191" spans="17:21" x14ac:dyDescent="0.2">
      <c r="Q191" s="4"/>
      <c r="R191" s="4"/>
      <c r="S191" s="4"/>
      <c r="T191" s="4"/>
      <c r="U191" s="4"/>
    </row>
    <row r="192" spans="17:21" x14ac:dyDescent="0.2">
      <c r="Q192" s="4"/>
      <c r="R192" s="4"/>
      <c r="S192" s="4"/>
      <c r="T192" s="4"/>
      <c r="U192" s="4"/>
    </row>
    <row r="193" spans="17:21" x14ac:dyDescent="0.2">
      <c r="Q193" s="2"/>
      <c r="R193" s="2"/>
      <c r="S193" s="2"/>
      <c r="T193" s="2"/>
      <c r="U193" s="2"/>
    </row>
    <row r="194" spans="17:21" x14ac:dyDescent="0.2">
      <c r="Q194" s="2"/>
      <c r="R194" s="2"/>
      <c r="S194" s="2"/>
      <c r="T194" s="2"/>
      <c r="U194" s="2"/>
    </row>
    <row r="195" spans="17:21" x14ac:dyDescent="0.2">
      <c r="Q195" s="2"/>
      <c r="R195" s="2"/>
      <c r="S195" s="2"/>
      <c r="T195" s="2"/>
      <c r="U195" s="2"/>
    </row>
    <row r="196" spans="17:21" x14ac:dyDescent="0.2">
      <c r="Q196" s="2"/>
      <c r="R196" s="2"/>
      <c r="S196" s="2"/>
      <c r="T196" s="2"/>
      <c r="U196" s="2"/>
    </row>
    <row r="197" spans="17:21" x14ac:dyDescent="0.2">
      <c r="Q197" s="2"/>
      <c r="R197" s="2"/>
      <c r="S197" s="2"/>
      <c r="T197" s="2"/>
      <c r="U197" s="2"/>
    </row>
    <row r="198" spans="17:21" x14ac:dyDescent="0.2">
      <c r="Q198" s="2"/>
      <c r="R198" s="2"/>
      <c r="S198" s="2"/>
      <c r="T198" s="2"/>
      <c r="U198" s="2"/>
    </row>
    <row r="199" spans="17:21" x14ac:dyDescent="0.2">
      <c r="Q199" s="2"/>
      <c r="R199" s="2"/>
      <c r="S199" s="2"/>
      <c r="T199" s="2"/>
      <c r="U199" s="2"/>
    </row>
    <row r="200" spans="17:21" x14ac:dyDescent="0.2">
      <c r="Q200" s="2"/>
      <c r="R200" s="2"/>
      <c r="S200" s="2"/>
      <c r="T200" s="2"/>
      <c r="U200" s="2"/>
    </row>
    <row r="201" spans="17:21" x14ac:dyDescent="0.2">
      <c r="Q201" s="2"/>
      <c r="R201" s="2"/>
      <c r="S201" s="2"/>
      <c r="T201" s="2"/>
      <c r="U201" s="2"/>
    </row>
    <row r="202" spans="17:21" x14ac:dyDescent="0.2">
      <c r="Q202" s="2"/>
      <c r="R202" s="2"/>
      <c r="S202" s="2"/>
      <c r="T202" s="2"/>
      <c r="U202" s="2"/>
    </row>
    <row r="203" spans="17:21" x14ac:dyDescent="0.2">
      <c r="Q203" s="2"/>
      <c r="R203" s="2"/>
      <c r="S203" s="2"/>
      <c r="T203" s="2"/>
      <c r="U203" s="2"/>
    </row>
    <row r="204" spans="17:21" x14ac:dyDescent="0.2">
      <c r="Q204" s="2"/>
      <c r="R204" s="2"/>
      <c r="S204" s="2"/>
      <c r="T204" s="2"/>
      <c r="U204" s="2"/>
    </row>
    <row r="205" spans="17:21" x14ac:dyDescent="0.2">
      <c r="Q205" s="2"/>
      <c r="R205" s="2"/>
      <c r="S205" s="2"/>
      <c r="T205" s="2"/>
      <c r="U205" s="2"/>
    </row>
    <row r="206" spans="17:21" x14ac:dyDescent="0.2">
      <c r="Q206" s="2"/>
      <c r="R206" s="2"/>
      <c r="S206" s="2"/>
      <c r="T206" s="2"/>
      <c r="U206" s="2"/>
    </row>
    <row r="207" spans="17:21" x14ac:dyDescent="0.2">
      <c r="Q207" s="2"/>
      <c r="R207" s="2"/>
      <c r="S207" s="2"/>
      <c r="T207" s="2"/>
      <c r="U207" s="2"/>
    </row>
    <row r="208" spans="17:21" x14ac:dyDescent="0.2">
      <c r="Q208" s="2"/>
      <c r="R208" s="2"/>
      <c r="S208" s="2"/>
      <c r="T208" s="2"/>
      <c r="U208" s="2"/>
    </row>
    <row r="209" spans="1:29" ht="17" thickBot="1" x14ac:dyDescent="0.25"/>
    <row r="210" spans="1:29" ht="16" customHeight="1" x14ac:dyDescent="0.2">
      <c r="A210" s="35" t="s">
        <v>320</v>
      </c>
      <c r="B210" s="35"/>
      <c r="C210" s="35"/>
      <c r="S210" s="59" t="s">
        <v>348</v>
      </c>
      <c r="T210" s="60"/>
      <c r="U210" s="60"/>
      <c r="V210" s="60"/>
      <c r="W210" s="60"/>
      <c r="X210" s="61"/>
    </row>
    <row r="211" spans="1:29" ht="16" customHeight="1" thickBot="1" x14ac:dyDescent="0.25">
      <c r="A211" s="35"/>
      <c r="B211" s="35"/>
      <c r="C211" s="35"/>
      <c r="S211" s="71"/>
      <c r="T211" s="72"/>
      <c r="U211" s="72"/>
      <c r="V211" s="72"/>
      <c r="W211" s="72"/>
      <c r="X211" s="73"/>
    </row>
    <row r="212" spans="1:29" x14ac:dyDescent="0.2">
      <c r="Y212" s="17" t="s">
        <v>191</v>
      </c>
      <c r="Z212" s="18"/>
      <c r="AA212" s="18"/>
      <c r="AB212" s="18"/>
      <c r="AC212" s="19"/>
    </row>
    <row r="213" spans="1:29" x14ac:dyDescent="0.2">
      <c r="Y213" s="20"/>
      <c r="Z213" s="21"/>
      <c r="AA213" s="21"/>
      <c r="AB213" s="21"/>
      <c r="AC213" s="22"/>
    </row>
    <row r="214" spans="1:29" x14ac:dyDescent="0.2">
      <c r="Y214" s="23" t="s">
        <v>334</v>
      </c>
      <c r="Z214" s="24"/>
      <c r="AA214" s="24"/>
      <c r="AB214" s="24"/>
      <c r="AC214" s="25"/>
    </row>
    <row r="215" spans="1:29" x14ac:dyDescent="0.2">
      <c r="Y215" s="23"/>
      <c r="Z215" s="24"/>
      <c r="AA215" s="24"/>
      <c r="AB215" s="24"/>
      <c r="AC215" s="25"/>
    </row>
    <row r="216" spans="1:29" x14ac:dyDescent="0.2">
      <c r="Y216" s="23"/>
      <c r="Z216" s="24"/>
      <c r="AA216" s="24"/>
      <c r="AB216" s="24"/>
      <c r="AC216" s="25"/>
    </row>
    <row r="217" spans="1:29" x14ac:dyDescent="0.2">
      <c r="Y217" s="23"/>
      <c r="Z217" s="24"/>
      <c r="AA217" s="24"/>
      <c r="AB217" s="24"/>
      <c r="AC217" s="25"/>
    </row>
    <row r="218" spans="1:29" x14ac:dyDescent="0.2">
      <c r="Y218" s="23"/>
      <c r="Z218" s="24"/>
      <c r="AA218" s="24"/>
      <c r="AB218" s="24"/>
      <c r="AC218" s="25"/>
    </row>
    <row r="219" spans="1:29" x14ac:dyDescent="0.2">
      <c r="Y219" s="23"/>
      <c r="Z219" s="24"/>
      <c r="AA219" s="24"/>
      <c r="AB219" s="24"/>
      <c r="AC219" s="25"/>
    </row>
    <row r="220" spans="1:29" x14ac:dyDescent="0.2">
      <c r="Y220" s="23"/>
      <c r="Z220" s="24"/>
      <c r="AA220" s="24"/>
      <c r="AB220" s="24"/>
      <c r="AC220" s="25"/>
    </row>
    <row r="221" spans="1:29" x14ac:dyDescent="0.2">
      <c r="Y221" s="23"/>
      <c r="Z221" s="24"/>
      <c r="AA221" s="24"/>
      <c r="AB221" s="24"/>
      <c r="AC221" s="25"/>
    </row>
    <row r="222" spans="1:29" x14ac:dyDescent="0.2">
      <c r="Y222" s="23"/>
      <c r="Z222" s="24"/>
      <c r="AA222" s="24"/>
      <c r="AB222" s="24"/>
      <c r="AC222" s="25"/>
    </row>
    <row r="223" spans="1:29" x14ac:dyDescent="0.2">
      <c r="Y223" s="23"/>
      <c r="Z223" s="24"/>
      <c r="AA223" s="24"/>
      <c r="AB223" s="24"/>
      <c r="AC223" s="25"/>
    </row>
    <row r="224" spans="1:29" x14ac:dyDescent="0.2">
      <c r="Y224" s="23"/>
      <c r="Z224" s="24"/>
      <c r="AA224" s="24"/>
      <c r="AB224" s="24"/>
      <c r="AC224" s="25"/>
    </row>
    <row r="225" spans="25:29" x14ac:dyDescent="0.2">
      <c r="Y225" s="23"/>
      <c r="Z225" s="24"/>
      <c r="AA225" s="24"/>
      <c r="AB225" s="24"/>
      <c r="AC225" s="25"/>
    </row>
    <row r="226" spans="25:29" x14ac:dyDescent="0.2">
      <c r="Y226" s="23"/>
      <c r="Z226" s="24"/>
      <c r="AA226" s="24"/>
      <c r="AB226" s="24"/>
      <c r="AC226" s="25"/>
    </row>
    <row r="227" spans="25:29" x14ac:dyDescent="0.2">
      <c r="Y227" s="23"/>
      <c r="Z227" s="24"/>
      <c r="AA227" s="24"/>
      <c r="AB227" s="24"/>
      <c r="AC227" s="25"/>
    </row>
    <row r="228" spans="25:29" x14ac:dyDescent="0.2">
      <c r="Y228" s="23"/>
      <c r="Z228" s="24"/>
      <c r="AA228" s="24"/>
      <c r="AB228" s="24"/>
      <c r="AC228" s="25"/>
    </row>
    <row r="229" spans="25:29" x14ac:dyDescent="0.2">
      <c r="Y229" s="23"/>
      <c r="Z229" s="24"/>
      <c r="AA229" s="24"/>
      <c r="AB229" s="24"/>
      <c r="AC229" s="25"/>
    </row>
    <row r="230" spans="25:29" x14ac:dyDescent="0.2">
      <c r="Y230" s="23"/>
      <c r="Z230" s="24"/>
      <c r="AA230" s="24"/>
      <c r="AB230" s="24"/>
      <c r="AC230" s="25"/>
    </row>
    <row r="231" spans="25:29" x14ac:dyDescent="0.2">
      <c r="Y231" s="23"/>
      <c r="Z231" s="24"/>
      <c r="AA231" s="24"/>
      <c r="AB231" s="24"/>
      <c r="AC231" s="25"/>
    </row>
    <row r="232" spans="25:29" x14ac:dyDescent="0.2">
      <c r="Y232" s="23"/>
      <c r="Z232" s="24"/>
      <c r="AA232" s="24"/>
      <c r="AB232" s="24"/>
      <c r="AC232" s="25"/>
    </row>
    <row r="233" spans="25:29" ht="17" thickBot="1" x14ac:dyDescent="0.25">
      <c r="Y233" s="26"/>
      <c r="Z233" s="27"/>
      <c r="AA233" s="27"/>
      <c r="AB233" s="27"/>
      <c r="AC233" s="28"/>
    </row>
    <row r="234" spans="25:29" x14ac:dyDescent="0.2">
      <c r="Y234" s="29" t="s">
        <v>321</v>
      </c>
      <c r="Z234" s="30"/>
      <c r="AA234" s="12">
        <v>10004</v>
      </c>
      <c r="AB234" s="13">
        <v>10005</v>
      </c>
      <c r="AC234" s="14">
        <v>10006</v>
      </c>
    </row>
    <row r="235" spans="25:29" x14ac:dyDescent="0.2">
      <c r="Y235" s="31" t="s">
        <v>322</v>
      </c>
      <c r="Z235" s="32"/>
      <c r="AA235" s="6">
        <f>AVERAGE('Walk About'!$K$3:$K$12)</f>
        <v>-59.625</v>
      </c>
      <c r="AB235" s="6">
        <f>AVERAGE('Walk About'!$L$3:$L$12)</f>
        <v>-87.1</v>
      </c>
      <c r="AC235" s="10">
        <f>AVERAGE('Walk About'!$M$3:$M$12)</f>
        <v>-93.5</v>
      </c>
    </row>
    <row r="236" spans="25:29" ht="16" customHeight="1" x14ac:dyDescent="0.2">
      <c r="Y236" s="31" t="s">
        <v>323</v>
      </c>
      <c r="Z236" s="32"/>
      <c r="AA236" s="6">
        <f>AVERAGE('Walk About'!$K$13:$K$22)</f>
        <v>-62.5</v>
      </c>
      <c r="AB236" s="6">
        <f>AVERAGE('Walk About'!$L$13:$L$22)</f>
        <v>-87.666666666666671</v>
      </c>
      <c r="AC236" s="10">
        <f>AVERAGE('Walk About'!$M$13:$M$22)</f>
        <v>-93</v>
      </c>
    </row>
    <row r="237" spans="25:29" x14ac:dyDescent="0.2">
      <c r="Y237" s="31" t="s">
        <v>324</v>
      </c>
      <c r="Z237" s="32"/>
      <c r="AA237" s="6">
        <f>AVERAGE('Walk About'!$K$23:$K$32)</f>
        <v>-63.5</v>
      </c>
      <c r="AB237" s="6">
        <f>AVERAGE('Walk About'!$L$23:$L$32)</f>
        <v>-85.833333333333329</v>
      </c>
      <c r="AC237" s="10">
        <f>AVERAGE('Walk About'!$M$23:$M$32)</f>
        <v>-91.6</v>
      </c>
    </row>
    <row r="238" spans="25:29" ht="16" customHeight="1" x14ac:dyDescent="0.2">
      <c r="Y238" s="31" t="s">
        <v>325</v>
      </c>
      <c r="Z238" s="32"/>
      <c r="AA238" s="6">
        <f>AVERAGE('Walk About'!$K$33:$K$42)</f>
        <v>-86.5</v>
      </c>
      <c r="AB238" s="6">
        <f>AVERAGE('Walk About'!$L$33:$L$42)</f>
        <v>-79.599999999999994</v>
      </c>
      <c r="AC238" s="10">
        <f>AVERAGE('Walk About'!$M$33:$M$42)</f>
        <v>-87.285714285714292</v>
      </c>
    </row>
    <row r="239" spans="25:29" ht="16" customHeight="1" x14ac:dyDescent="0.2">
      <c r="Y239" s="31" t="s">
        <v>326</v>
      </c>
      <c r="Z239" s="32"/>
      <c r="AA239" s="6">
        <f>AVERAGE('Walk About'!$K$43:$K$52)</f>
        <v>-88.285714285714292</v>
      </c>
      <c r="AB239" s="6">
        <f>AVERAGE('Walk About'!$L$43:$L$52)</f>
        <v>-61.444444444444443</v>
      </c>
      <c r="AC239" s="10">
        <f>AVERAGE('Walk About'!$M$43:$M$52)</f>
        <v>-90.166666666666671</v>
      </c>
    </row>
    <row r="240" spans="25:29" ht="16" customHeight="1" x14ac:dyDescent="0.2">
      <c r="Y240" s="31" t="s">
        <v>327</v>
      </c>
      <c r="Z240" s="32"/>
      <c r="AA240" s="6">
        <f>AVERAGE('Walk About'!$K$53:$K$62)</f>
        <v>-90.25</v>
      </c>
      <c r="AB240" s="6">
        <f>AVERAGE('Walk About'!$L$53:$L$62)</f>
        <v>-62.9</v>
      </c>
      <c r="AC240" s="10">
        <f>AVERAGE('Walk About'!$M$53:$M$62)</f>
        <v>-92.857142857142861</v>
      </c>
    </row>
    <row r="241" spans="25:29" x14ac:dyDescent="0.2">
      <c r="Y241" s="31" t="s">
        <v>328</v>
      </c>
      <c r="Z241" s="32"/>
      <c r="AA241" s="6">
        <f>AVERAGE('Walk About'!$K$63:$K$72)</f>
        <v>-90.777777777777771</v>
      </c>
      <c r="AB241" s="6">
        <f>AVERAGE('Walk About'!$L$63:$L$72)</f>
        <v>-66.375</v>
      </c>
      <c r="AC241" s="10">
        <f>AVERAGE('Walk About'!$M$63:$M$72)</f>
        <v>-91</v>
      </c>
    </row>
    <row r="242" spans="25:29" ht="16" customHeight="1" x14ac:dyDescent="0.2">
      <c r="Y242" s="31" t="s">
        <v>329</v>
      </c>
      <c r="Z242" s="32"/>
      <c r="AA242" s="6">
        <f>AVERAGE('Walk About'!$K$73:$K$82)</f>
        <v>-89.2</v>
      </c>
      <c r="AB242" s="6">
        <f>AVERAGE('Walk About'!$L$73:$L$82)</f>
        <v>-61.75</v>
      </c>
      <c r="AC242" s="10">
        <f>AVERAGE('Walk About'!$M$73:$M$82)</f>
        <v>-92.2</v>
      </c>
    </row>
    <row r="243" spans="25:29" ht="16" customHeight="1" x14ac:dyDescent="0.2">
      <c r="Y243" s="31" t="s">
        <v>330</v>
      </c>
      <c r="Z243" s="32"/>
      <c r="AA243" s="6">
        <f>AVERAGE('Walk About'!$K$83:$K$92)</f>
        <v>-88.571428571428569</v>
      </c>
      <c r="AB243" s="6">
        <f>AVERAGE('Walk About'!$L$83:$L$92)</f>
        <v>-75.5</v>
      </c>
      <c r="AC243" s="10">
        <f>AVERAGE('Walk About'!$M$83:$M$92)</f>
        <v>-87</v>
      </c>
    </row>
    <row r="244" spans="25:29" ht="17" customHeight="1" x14ac:dyDescent="0.2">
      <c r="Y244" s="31" t="s">
        <v>331</v>
      </c>
      <c r="Z244" s="32"/>
      <c r="AA244" s="6">
        <f>AVERAGE('Walk About'!$K$93:$K$102)</f>
        <v>-89.125</v>
      </c>
      <c r="AB244" s="6">
        <f>AVERAGE('Walk About'!$L$93:$L$102)</f>
        <v>-79.571428571428569</v>
      </c>
      <c r="AC244" s="10">
        <f>AVERAGE('Walk About'!$M$93:$M$102)</f>
        <v>-68.111111111111114</v>
      </c>
    </row>
    <row r="245" spans="25:29" x14ac:dyDescent="0.2">
      <c r="Y245" s="31" t="s">
        <v>332</v>
      </c>
      <c r="Z245" s="32"/>
      <c r="AA245" s="6">
        <f>AVERAGE('Walk About'!$K$103:$K$112)</f>
        <v>-89.555555555555557</v>
      </c>
      <c r="AB245" s="6">
        <f>AVERAGE('Walk About'!$L$103:$L$112)</f>
        <v>-81.400000000000006</v>
      </c>
      <c r="AC245" s="10">
        <f>AVERAGE('Walk About'!$M$103:$M$112)</f>
        <v>-61.285714285714285</v>
      </c>
    </row>
    <row r="246" spans="25:29" ht="17" thickBot="1" x14ac:dyDescent="0.25">
      <c r="Y246" s="15" t="s">
        <v>333</v>
      </c>
      <c r="Z246" s="16"/>
      <c r="AA246" s="8">
        <f>AVERAGE('Walk About'!$K$113:$K$122)</f>
        <v>-92.714285714285708</v>
      </c>
      <c r="AB246" s="8">
        <f>AVERAGE('Walk About'!$L$113:$L$122)</f>
        <v>-88.875</v>
      </c>
      <c r="AC246" s="11">
        <f>AVERAGE('Walk About'!$M$113:$M$122)</f>
        <v>-69.599999999999994</v>
      </c>
    </row>
  </sheetData>
  <mergeCells count="52">
    <mergeCell ref="Q105:U106"/>
    <mergeCell ref="Q107:U126"/>
    <mergeCell ref="Q127:R127"/>
    <mergeCell ref="Q128:R128"/>
    <mergeCell ref="Q37:U38"/>
    <mergeCell ref="Q54:R54"/>
    <mergeCell ref="Q55:R55"/>
    <mergeCell ref="Q56:R56"/>
    <mergeCell ref="Q57:R57"/>
    <mergeCell ref="Q71:U72"/>
    <mergeCell ref="Q88:R88"/>
    <mergeCell ref="Q89:R89"/>
    <mergeCell ref="Q90:R90"/>
    <mergeCell ref="Q5:U19"/>
    <mergeCell ref="A1:B2"/>
    <mergeCell ref="A35:B36"/>
    <mergeCell ref="A69:B70"/>
    <mergeCell ref="A103:B104"/>
    <mergeCell ref="A140:B141"/>
    <mergeCell ref="A175:B176"/>
    <mergeCell ref="Q3:U4"/>
    <mergeCell ref="Q129:R129"/>
    <mergeCell ref="Q131:R131"/>
    <mergeCell ref="Q132:R132"/>
    <mergeCell ref="Q133:R133"/>
    <mergeCell ref="Q135:R135"/>
    <mergeCell ref="Q136:R136"/>
    <mergeCell ref="Q137:R137"/>
    <mergeCell ref="Q23:R23"/>
    <mergeCell ref="Q91:R91"/>
    <mergeCell ref="Q39:U53"/>
    <mergeCell ref="Q73:U87"/>
    <mergeCell ref="A210:C211"/>
    <mergeCell ref="Y237:Z237"/>
    <mergeCell ref="Q20:R20"/>
    <mergeCell ref="Q21:R21"/>
    <mergeCell ref="Q22:R22"/>
    <mergeCell ref="S210:X211"/>
    <mergeCell ref="Y246:Z246"/>
    <mergeCell ref="Y212:AC213"/>
    <mergeCell ref="Y214:AC233"/>
    <mergeCell ref="Y234:Z234"/>
    <mergeCell ref="Y235:Z235"/>
    <mergeCell ref="Y236:Z236"/>
    <mergeCell ref="Y240:Z240"/>
    <mergeCell ref="Y244:Z244"/>
    <mergeCell ref="Y238:Z238"/>
    <mergeCell ref="Y239:Z239"/>
    <mergeCell ref="Y241:Z241"/>
    <mergeCell ref="Y242:Z242"/>
    <mergeCell ref="Y243:Z243"/>
    <mergeCell ref="Y245:Z245"/>
  </mergeCells>
  <pageMargins left="0.7" right="0.7" top="0.75" bottom="0.75" header="0.3" footer="0.3"/>
  <ignoredErrors>
    <ignoredError sqref="AB239:AB246" formula="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10004 Exhibit</vt:lpstr>
      <vt:lpstr>10005 Exhibit</vt:lpstr>
      <vt:lpstr>10006 Exhibit</vt:lpstr>
      <vt:lpstr>Walk About</vt:lpstr>
      <vt:lpstr>Overview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Theunis Bassage</dc:creator>
  <cp:lastModifiedBy>Theunis Bassage</cp:lastModifiedBy>
  <dcterms:created xsi:type="dcterms:W3CDTF">2018-07-27T14:32:23Z</dcterms:created>
  <dcterms:modified xsi:type="dcterms:W3CDTF">2018-08-06T08:02:22Z</dcterms:modified>
</cp:coreProperties>
</file>